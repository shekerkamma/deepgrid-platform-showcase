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Haradatta Emani\Downloads\"/>
    </mc:Choice>
  </mc:AlternateContent>
  <xr:revisionPtr revIDLastSave="0" documentId="13_ncr:1_{2C4FE217-4E56-451D-B468-DD7D0C9F1FF9}" xr6:coauthVersionLast="47" xr6:coauthVersionMax="47" xr10:uidLastSave="{00000000-0000-0000-0000-000000000000}"/>
  <bookViews>
    <workbookView xWindow="-108" yWindow="-108" windowWidth="23256" windowHeight="13896" xr2:uid="{549B837E-E130-469E-A9F7-779081D792A9}"/>
  </bookViews>
  <sheets>
    <sheet name="Cover Page" sheetId="25" r:id="rId1"/>
    <sheet name="Financial Overview&gt;&gt;" sheetId="8" r:id="rId2"/>
    <sheet name="P&amp;L" sheetId="10" r:id="rId3"/>
    <sheet name="Sales Summary" sheetId="3" r:id="rId4"/>
    <sheet name="Use of Funds" sheetId="9" r:id="rId5"/>
    <sheet name="Historical Context" sheetId="16" r:id="rId6"/>
    <sheet name="CGTMSE Debt " sheetId="20" r:id="rId7"/>
    <sheet name="Cap Table" sheetId="17" r:id="rId8"/>
    <sheet name="Market" sheetId="7" r:id="rId9"/>
    <sheet name="Working&gt;&gt;" sheetId="5" r:id="rId10"/>
    <sheet name="Assumptions" sheetId="4" r:id="rId11"/>
    <sheet name="Revenue Master" sheetId="2" r:id="rId12"/>
    <sheet name="Tapeout Expenses" sheetId="12" r:id="rId13"/>
    <sheet name="Payroll" sheetId="6" r:id="rId14"/>
    <sheet name="Expense Schedules" sheetId="14" r:id="rId1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21" i="25" l="1"/>
  <c r="G21" i="25"/>
  <c r="F21" i="25"/>
  <c r="E21" i="25"/>
  <c r="D21" i="25"/>
  <c r="C21" i="25"/>
  <c r="H20" i="25"/>
  <c r="G20" i="25"/>
  <c r="F20" i="25"/>
  <c r="E20" i="25"/>
  <c r="D20" i="25"/>
  <c r="C20" i="25"/>
  <c r="H19" i="25"/>
  <c r="G19" i="25"/>
  <c r="F19" i="25"/>
  <c r="E19" i="25"/>
  <c r="D19" i="25"/>
  <c r="C19" i="25"/>
  <c r="G14" i="25"/>
  <c r="F14" i="25"/>
  <c r="G10" i="25"/>
  <c r="F10" i="25"/>
  <c r="D28" i="10"/>
  <c r="D13" i="17"/>
  <c r="E9" i="17" s="1"/>
  <c r="P21" i="10"/>
  <c r="O21" i="10"/>
  <c r="N21" i="10"/>
  <c r="M21" i="10"/>
  <c r="L21" i="10"/>
  <c r="K21" i="10"/>
  <c r="I28" i="4"/>
  <c r="H28" i="4"/>
  <c r="G28" i="4"/>
  <c r="F28" i="4"/>
  <c r="E28" i="4"/>
  <c r="D28" i="4"/>
  <c r="I27" i="4"/>
  <c r="H27" i="4"/>
  <c r="G27" i="4"/>
  <c r="F27" i="4"/>
  <c r="E27" i="4"/>
  <c r="D27" i="4"/>
  <c r="I26" i="4"/>
  <c r="H26" i="4"/>
  <c r="G26" i="4"/>
  <c r="F26" i="4"/>
  <c r="E26" i="4"/>
  <c r="D26" i="4"/>
  <c r="I25" i="4"/>
  <c r="H25" i="4"/>
  <c r="G25" i="4"/>
  <c r="F25" i="4"/>
  <c r="E25" i="4"/>
  <c r="D25" i="4"/>
  <c r="P14" i="10"/>
  <c r="O14" i="10"/>
  <c r="N14" i="10"/>
  <c r="M14" i="10"/>
  <c r="L14" i="10"/>
  <c r="K14" i="10"/>
  <c r="P13" i="10"/>
  <c r="O13" i="10"/>
  <c r="N13" i="10"/>
  <c r="M13" i="10"/>
  <c r="L13" i="10"/>
  <c r="K13" i="10"/>
  <c r="K16" i="10"/>
  <c r="P15" i="10"/>
  <c r="K15" i="10"/>
  <c r="K12" i="10"/>
  <c r="P11" i="10"/>
  <c r="O11" i="10"/>
  <c r="N11" i="10"/>
  <c r="M11" i="10"/>
  <c r="L11" i="10"/>
  <c r="K11" i="10"/>
  <c r="P18" i="6"/>
  <c r="O18" i="6"/>
  <c r="N18" i="6"/>
  <c r="M18" i="6"/>
  <c r="L18" i="6"/>
  <c r="I31" i="3"/>
  <c r="H31" i="3"/>
  <c r="G31" i="3"/>
  <c r="F31" i="3"/>
  <c r="E31" i="3"/>
  <c r="D31" i="3"/>
  <c r="I30" i="3"/>
  <c r="H30" i="3"/>
  <c r="G30" i="3"/>
  <c r="F30" i="3"/>
  <c r="E30" i="3"/>
  <c r="D30" i="3"/>
  <c r="I29" i="3"/>
  <c r="H29" i="3"/>
  <c r="G29" i="3"/>
  <c r="F29" i="3"/>
  <c r="E29" i="3"/>
  <c r="D29" i="3"/>
  <c r="I28" i="3"/>
  <c r="H28" i="3"/>
  <c r="G28" i="3"/>
  <c r="F28" i="3"/>
  <c r="E28" i="3"/>
  <c r="D28" i="3"/>
  <c r="L29" i="3"/>
  <c r="E10" i="14"/>
  <c r="E13" i="14" s="1"/>
  <c r="E24" i="14"/>
  <c r="E34" i="14"/>
  <c r="I7" i="10"/>
  <c r="H7" i="10"/>
  <c r="G7" i="10"/>
  <c r="F7" i="10"/>
  <c r="I19" i="4"/>
  <c r="H19" i="4"/>
  <c r="G19" i="4"/>
  <c r="F19" i="4"/>
  <c r="E19" i="4"/>
  <c r="D19" i="4"/>
  <c r="I18" i="4"/>
  <c r="H18" i="4"/>
  <c r="G18" i="4"/>
  <c r="F18" i="4"/>
  <c r="E18" i="4"/>
  <c r="D18" i="4"/>
  <c r="D21" i="4" s="1"/>
  <c r="D7" i="10" s="1"/>
  <c r="K7" i="10" s="1"/>
  <c r="I17" i="4"/>
  <c r="H17" i="4"/>
  <c r="H21" i="4" s="1"/>
  <c r="G17" i="4"/>
  <c r="G21" i="4" s="1"/>
  <c r="F17" i="4"/>
  <c r="E17" i="4"/>
  <c r="D17" i="4"/>
  <c r="I16" i="4"/>
  <c r="I21" i="4" s="1"/>
  <c r="H16" i="4"/>
  <c r="G16" i="4"/>
  <c r="F16" i="4"/>
  <c r="F21" i="4" s="1"/>
  <c r="E16" i="4"/>
  <c r="E21" i="4" s="1"/>
  <c r="E7" i="10" s="1"/>
  <c r="D16" i="4"/>
  <c r="D14" i="10"/>
  <c r="E14" i="10"/>
  <c r="F14" i="10"/>
  <c r="G14" i="10"/>
  <c r="H14" i="10"/>
  <c r="I14" i="10"/>
  <c r="I10" i="14"/>
  <c r="I13" i="14" s="1"/>
  <c r="H10" i="14"/>
  <c r="H13" i="10" s="1"/>
  <c r="G10" i="14"/>
  <c r="G13" i="10" s="1"/>
  <c r="F10" i="14"/>
  <c r="F13" i="10" s="1"/>
  <c r="D10" i="14"/>
  <c r="D13" i="14" s="1"/>
  <c r="D24" i="14"/>
  <c r="D16" i="10" s="1"/>
  <c r="AD16" i="6"/>
  <c r="AC16" i="6"/>
  <c r="AB16" i="6"/>
  <c r="AA16" i="6"/>
  <c r="Z16" i="6"/>
  <c r="Y16" i="6"/>
  <c r="AD15" i="6"/>
  <c r="AC15" i="6"/>
  <c r="AB15" i="6"/>
  <c r="AA15" i="6"/>
  <c r="Z15" i="6"/>
  <c r="Y15" i="6"/>
  <c r="AD14" i="6"/>
  <c r="AC14" i="6"/>
  <c r="AB14" i="6"/>
  <c r="AA14" i="6"/>
  <c r="Z14" i="6"/>
  <c r="Y14" i="6"/>
  <c r="AC12" i="6"/>
  <c r="AA12" i="6"/>
  <c r="Z12" i="6"/>
  <c r="AD10" i="6"/>
  <c r="Z8" i="6"/>
  <c r="Y8" i="6"/>
  <c r="AD7" i="6"/>
  <c r="AB7" i="6"/>
  <c r="AA7" i="6"/>
  <c r="Z7" i="6"/>
  <c r="AD6" i="6"/>
  <c r="AC6" i="6"/>
  <c r="AB6" i="6"/>
  <c r="I34" i="14"/>
  <c r="I15" i="10" s="1"/>
  <c r="H34" i="14"/>
  <c r="H15" i="10" s="1"/>
  <c r="O15" i="10" s="1"/>
  <c r="G34" i="14"/>
  <c r="G15" i="10" s="1"/>
  <c r="N15" i="10" s="1"/>
  <c r="F34" i="14"/>
  <c r="F15" i="10" s="1"/>
  <c r="M15" i="10" s="1"/>
  <c r="E15" i="10"/>
  <c r="L15" i="10" s="1"/>
  <c r="D34" i="14"/>
  <c r="D15" i="10" s="1"/>
  <c r="I24" i="14"/>
  <c r="I16" i="10" s="1"/>
  <c r="P16" i="10" s="1"/>
  <c r="H24" i="14"/>
  <c r="H16" i="10" s="1"/>
  <c r="O16" i="10" s="1"/>
  <c r="G24" i="14"/>
  <c r="G16" i="10" s="1"/>
  <c r="N16" i="10" s="1"/>
  <c r="F24" i="14"/>
  <c r="F16" i="10" s="1"/>
  <c r="M16" i="10" s="1"/>
  <c r="E16" i="10"/>
  <c r="L16" i="10" s="1"/>
  <c r="I18" i="6"/>
  <c r="D38" i="12"/>
  <c r="D24" i="10"/>
  <c r="E24" i="10" s="1"/>
  <c r="F24" i="10" s="1"/>
  <c r="G24" i="10" s="1"/>
  <c r="H24" i="10" s="1"/>
  <c r="I24" i="10" s="1"/>
  <c r="D9" i="20"/>
  <c r="W13" i="6"/>
  <c r="AD13" i="6" s="1"/>
  <c r="W12" i="6"/>
  <c r="AD12" i="6" s="1"/>
  <c r="W11" i="6"/>
  <c r="AD11" i="6" s="1"/>
  <c r="W10" i="6"/>
  <c r="W9" i="6"/>
  <c r="AD9" i="6" s="1"/>
  <c r="W8" i="6"/>
  <c r="AD8" i="6" s="1"/>
  <c r="W7" i="6"/>
  <c r="W6" i="6"/>
  <c r="K18" i="6"/>
  <c r="D18" i="6"/>
  <c r="E18" i="6"/>
  <c r="F18" i="6"/>
  <c r="G18" i="6"/>
  <c r="H18" i="6"/>
  <c r="E17" i="9"/>
  <c r="E16" i="9"/>
  <c r="E15" i="9"/>
  <c r="E14" i="9"/>
  <c r="V13" i="6"/>
  <c r="AC13" i="6" s="1"/>
  <c r="V12" i="6"/>
  <c r="V11" i="6"/>
  <c r="AC11" i="6" s="1"/>
  <c r="V10" i="6"/>
  <c r="AC10" i="6" s="1"/>
  <c r="V9" i="6"/>
  <c r="AC9" i="6" s="1"/>
  <c r="V8" i="6"/>
  <c r="AC8" i="6" s="1"/>
  <c r="V7" i="6"/>
  <c r="AC7" i="6" s="1"/>
  <c r="V6" i="6"/>
  <c r="U13" i="6"/>
  <c r="AB13" i="6" s="1"/>
  <c r="T13" i="6"/>
  <c r="AA13" i="6" s="1"/>
  <c r="S13" i="6"/>
  <c r="Z13" i="6" s="1"/>
  <c r="R13" i="6"/>
  <c r="Y13" i="6" s="1"/>
  <c r="U12" i="6"/>
  <c r="AB12" i="6" s="1"/>
  <c r="T12" i="6"/>
  <c r="S12" i="6"/>
  <c r="R12" i="6"/>
  <c r="Y12" i="6" s="1"/>
  <c r="U11" i="6"/>
  <c r="AB11" i="6" s="1"/>
  <c r="T11" i="6"/>
  <c r="AA11" i="6" s="1"/>
  <c r="S11" i="6"/>
  <c r="Z11" i="6" s="1"/>
  <c r="R11" i="6"/>
  <c r="Y11" i="6" s="1"/>
  <c r="U10" i="6"/>
  <c r="AB10" i="6" s="1"/>
  <c r="T10" i="6"/>
  <c r="AA10" i="6" s="1"/>
  <c r="S10" i="6"/>
  <c r="Z10" i="6" s="1"/>
  <c r="R10" i="6"/>
  <c r="Y10" i="6" s="1"/>
  <c r="U9" i="6"/>
  <c r="AB9" i="6" s="1"/>
  <c r="T9" i="6"/>
  <c r="AA9" i="6" s="1"/>
  <c r="S9" i="6"/>
  <c r="Z9" i="6" s="1"/>
  <c r="R9" i="6"/>
  <c r="Y9" i="6" s="1"/>
  <c r="U8" i="6"/>
  <c r="AB8" i="6" s="1"/>
  <c r="T8" i="6"/>
  <c r="AA8" i="6" s="1"/>
  <c r="S8" i="6"/>
  <c r="R8" i="6"/>
  <c r="U7" i="6"/>
  <c r="T7" i="6"/>
  <c r="S7" i="6"/>
  <c r="R7" i="6"/>
  <c r="Y7" i="6" s="1"/>
  <c r="U6" i="6"/>
  <c r="T6" i="6"/>
  <c r="AA6" i="6" s="1"/>
  <c r="S6" i="6"/>
  <c r="Z6" i="6" s="1"/>
  <c r="R6" i="6"/>
  <c r="Y6" i="6" s="1"/>
  <c r="I21" i="3"/>
  <c r="H21" i="3"/>
  <c r="G21" i="3"/>
  <c r="F21" i="3"/>
  <c r="E21" i="3"/>
  <c r="D21" i="3"/>
  <c r="I20" i="3"/>
  <c r="H20" i="3"/>
  <c r="G20" i="3"/>
  <c r="F20" i="3"/>
  <c r="E20" i="3"/>
  <c r="D20" i="3"/>
  <c r="I19" i="3"/>
  <c r="H19" i="3"/>
  <c r="G19" i="3"/>
  <c r="F19" i="3"/>
  <c r="E19" i="3"/>
  <c r="D19" i="3"/>
  <c r="I18" i="3"/>
  <c r="H18" i="3"/>
  <c r="G18" i="3"/>
  <c r="F18" i="3"/>
  <c r="E18" i="3"/>
  <c r="D18" i="3"/>
  <c r="I17" i="3"/>
  <c r="H17" i="3"/>
  <c r="G17" i="3"/>
  <c r="F17" i="3"/>
  <c r="E17" i="3"/>
  <c r="D17" i="3"/>
  <c r="I16" i="3"/>
  <c r="H16" i="3"/>
  <c r="H23" i="3" s="1"/>
  <c r="G16" i="3"/>
  <c r="F16" i="3"/>
  <c r="E16" i="3"/>
  <c r="D16" i="3"/>
  <c r="I10" i="3"/>
  <c r="H10" i="3"/>
  <c r="G10" i="3"/>
  <c r="F10" i="3"/>
  <c r="E10" i="3"/>
  <c r="D10" i="3"/>
  <c r="I9" i="3"/>
  <c r="H9" i="3"/>
  <c r="G9" i="3"/>
  <c r="F9" i="3"/>
  <c r="E9" i="3"/>
  <c r="D9" i="3"/>
  <c r="I8" i="3"/>
  <c r="H8" i="3"/>
  <c r="G8" i="3"/>
  <c r="F8" i="3"/>
  <c r="E8" i="3"/>
  <c r="D8" i="3"/>
  <c r="I7" i="3"/>
  <c r="H7" i="3"/>
  <c r="G7" i="3"/>
  <c r="F7" i="3"/>
  <c r="E7" i="3"/>
  <c r="D7" i="3"/>
  <c r="N31" i="2"/>
  <c r="M31" i="2"/>
  <c r="L31" i="2"/>
  <c r="K31" i="2"/>
  <c r="J31" i="2"/>
  <c r="I31" i="2"/>
  <c r="N30" i="2"/>
  <c r="M30" i="2"/>
  <c r="L30" i="2"/>
  <c r="K30" i="2"/>
  <c r="J30" i="2"/>
  <c r="I30" i="2"/>
  <c r="N29" i="2"/>
  <c r="M29" i="2"/>
  <c r="L29" i="2"/>
  <c r="K29" i="2"/>
  <c r="J29" i="2"/>
  <c r="I29" i="2"/>
  <c r="N28" i="2"/>
  <c r="M28" i="2"/>
  <c r="L28" i="2"/>
  <c r="K28" i="2"/>
  <c r="J28" i="2"/>
  <c r="I28" i="2"/>
  <c r="N27" i="2"/>
  <c r="M27" i="2"/>
  <c r="L27" i="2"/>
  <c r="K27" i="2"/>
  <c r="J27" i="2"/>
  <c r="I27" i="2"/>
  <c r="N26" i="2"/>
  <c r="M26" i="2"/>
  <c r="L26" i="2"/>
  <c r="K26" i="2"/>
  <c r="J26" i="2"/>
  <c r="I26" i="2"/>
  <c r="N25" i="2"/>
  <c r="M25" i="2"/>
  <c r="L25" i="2"/>
  <c r="K25" i="2"/>
  <c r="J25" i="2"/>
  <c r="I25" i="2"/>
  <c r="N24" i="2"/>
  <c r="M24" i="2"/>
  <c r="L24" i="2"/>
  <c r="K24" i="2"/>
  <c r="J24" i="2"/>
  <c r="I24" i="2"/>
  <c r="N23" i="2"/>
  <c r="M23" i="2"/>
  <c r="L23" i="2"/>
  <c r="K23" i="2"/>
  <c r="J23" i="2"/>
  <c r="I23" i="2"/>
  <c r="N22" i="2"/>
  <c r="M22" i="2"/>
  <c r="L22" i="2"/>
  <c r="K22" i="2"/>
  <c r="J22" i="2"/>
  <c r="I22" i="2"/>
  <c r="N21" i="2"/>
  <c r="M21" i="2"/>
  <c r="L21" i="2"/>
  <c r="K21" i="2"/>
  <c r="J21" i="2"/>
  <c r="I21" i="2"/>
  <c r="N20" i="2"/>
  <c r="M20" i="2"/>
  <c r="L20" i="2"/>
  <c r="K20" i="2"/>
  <c r="J20" i="2"/>
  <c r="I20" i="2"/>
  <c r="E8" i="9"/>
  <c r="E7" i="9"/>
  <c r="D10" i="9"/>
  <c r="E13" i="12"/>
  <c r="E12" i="12"/>
  <c r="E11" i="12"/>
  <c r="E10" i="12"/>
  <c r="E9" i="12"/>
  <c r="E8" i="12"/>
  <c r="E7" i="12"/>
  <c r="D21" i="12"/>
  <c r="D23" i="12" s="1"/>
  <c r="D25" i="12" s="1"/>
  <c r="D27" i="12" s="1"/>
  <c r="D30" i="12" s="1"/>
  <c r="D15" i="12"/>
  <c r="N19" i="2"/>
  <c r="M19" i="2"/>
  <c r="L19" i="2"/>
  <c r="K19" i="2"/>
  <c r="J19" i="2"/>
  <c r="N18" i="2"/>
  <c r="M18" i="2"/>
  <c r="L18" i="2"/>
  <c r="K18" i="2"/>
  <c r="J18" i="2"/>
  <c r="N17" i="2"/>
  <c r="M17" i="2"/>
  <c r="L17" i="2"/>
  <c r="K17" i="2"/>
  <c r="J17" i="2"/>
  <c r="N16" i="2"/>
  <c r="M16" i="2"/>
  <c r="L16" i="2"/>
  <c r="K16" i="2"/>
  <c r="J16" i="2"/>
  <c r="N15" i="2"/>
  <c r="M15" i="2"/>
  <c r="L15" i="2"/>
  <c r="K15" i="2"/>
  <c r="J15" i="2"/>
  <c r="N14" i="2"/>
  <c r="M14" i="2"/>
  <c r="L14" i="2"/>
  <c r="K14" i="2"/>
  <c r="J14" i="2"/>
  <c r="N13" i="2"/>
  <c r="M13" i="2"/>
  <c r="L13" i="2"/>
  <c r="K13" i="2"/>
  <c r="J13" i="2"/>
  <c r="N12" i="2"/>
  <c r="M12" i="2"/>
  <c r="L12" i="2"/>
  <c r="K12" i="2"/>
  <c r="J12" i="2"/>
  <c r="N11" i="2"/>
  <c r="M11" i="2"/>
  <c r="L11" i="2"/>
  <c r="K11" i="2"/>
  <c r="J11" i="2"/>
  <c r="N10" i="2"/>
  <c r="M10" i="2"/>
  <c r="L10" i="2"/>
  <c r="K10" i="2"/>
  <c r="J10" i="2"/>
  <c r="N9" i="2"/>
  <c r="M9" i="2"/>
  <c r="L9" i="2"/>
  <c r="K9" i="2"/>
  <c r="J9" i="2"/>
  <c r="N8" i="2"/>
  <c r="M8" i="2"/>
  <c r="L8" i="2"/>
  <c r="K8" i="2"/>
  <c r="J8" i="2"/>
  <c r="N7" i="2"/>
  <c r="M7" i="2"/>
  <c r="L7" i="2"/>
  <c r="K7" i="2"/>
  <c r="J7" i="2"/>
  <c r="N6" i="2"/>
  <c r="M6" i="2"/>
  <c r="L6" i="2"/>
  <c r="K6" i="2"/>
  <c r="J6" i="2"/>
  <c r="I19" i="2"/>
  <c r="I18" i="2"/>
  <c r="I17" i="2"/>
  <c r="I16" i="2"/>
  <c r="I15" i="2"/>
  <c r="I14" i="2"/>
  <c r="I13" i="2"/>
  <c r="I12" i="2"/>
  <c r="I11" i="2"/>
  <c r="I10" i="2"/>
  <c r="I9" i="2"/>
  <c r="I8" i="2"/>
  <c r="I7" i="2"/>
  <c r="I6" i="2"/>
  <c r="U34" i="2"/>
  <c r="T34" i="2"/>
  <c r="S34" i="2"/>
  <c r="R34" i="2"/>
  <c r="Q34" i="2"/>
  <c r="P34" i="2"/>
  <c r="E11" i="17" l="1"/>
  <c r="E6" i="17"/>
  <c r="E12" i="17"/>
  <c r="O29" i="3"/>
  <c r="N29" i="3"/>
  <c r="L30" i="3"/>
  <c r="L31" i="3"/>
  <c r="M31" i="3"/>
  <c r="M29" i="3"/>
  <c r="M30" i="3"/>
  <c r="E13" i="10"/>
  <c r="E12" i="10" s="1"/>
  <c r="F13" i="14"/>
  <c r="G12" i="10"/>
  <c r="H12" i="10"/>
  <c r="G13" i="14"/>
  <c r="H13" i="14"/>
  <c r="I13" i="10"/>
  <c r="I12" i="10" s="1"/>
  <c r="D13" i="10"/>
  <c r="D12" i="10" s="1"/>
  <c r="F12" i="10"/>
  <c r="W18" i="6"/>
  <c r="AD18" i="6"/>
  <c r="I11" i="10" s="1"/>
  <c r="V18" i="6"/>
  <c r="AC18" i="6"/>
  <c r="H11" i="10" s="1"/>
  <c r="E7" i="17"/>
  <c r="E8" i="17"/>
  <c r="E10" i="17"/>
  <c r="R18" i="6"/>
  <c r="S18" i="6"/>
  <c r="T18" i="6"/>
  <c r="U18" i="6"/>
  <c r="Y18" i="6"/>
  <c r="D11" i="10" s="1"/>
  <c r="Z18" i="6"/>
  <c r="E11" i="10" s="1"/>
  <c r="AA18" i="6"/>
  <c r="F11" i="10" s="1"/>
  <c r="AB18" i="6"/>
  <c r="G11" i="10" s="1"/>
  <c r="I23" i="3"/>
  <c r="D23" i="3"/>
  <c r="E23" i="3"/>
  <c r="F23" i="3"/>
  <c r="G23" i="3"/>
  <c r="D12" i="3"/>
  <c r="K21" i="3" s="1"/>
  <c r="D40" i="12"/>
  <c r="D19" i="9"/>
  <c r="E19" i="9"/>
  <c r="E10" i="9"/>
  <c r="D34" i="12"/>
  <c r="D35" i="12" s="1"/>
  <c r="E15" i="12"/>
  <c r="J34" i="2"/>
  <c r="E6" i="10" s="1"/>
  <c r="I34" i="2"/>
  <c r="D6" i="10" s="1"/>
  <c r="N34" i="2"/>
  <c r="I6" i="10" s="1"/>
  <c r="L34" i="2"/>
  <c r="G6" i="10" s="1"/>
  <c r="K34" i="2"/>
  <c r="F6" i="10" s="1"/>
  <c r="M34" i="2"/>
  <c r="H6" i="10" s="1"/>
  <c r="E13" i="17" l="1"/>
  <c r="O30" i="3"/>
  <c r="N30" i="3"/>
  <c r="N31" i="3"/>
  <c r="P30" i="3"/>
  <c r="P29" i="3"/>
  <c r="N12" i="10"/>
  <c r="G17" i="10"/>
  <c r="L12" i="10"/>
  <c r="E17" i="10"/>
  <c r="M12" i="10"/>
  <c r="F17" i="10"/>
  <c r="P12" i="10"/>
  <c r="I17" i="10"/>
  <c r="O12" i="10"/>
  <c r="H17" i="10"/>
  <c r="D17" i="10"/>
  <c r="D19" i="10" s="1"/>
  <c r="F19" i="9"/>
  <c r="F17" i="9"/>
  <c r="F16" i="9"/>
  <c r="F15" i="9"/>
  <c r="F14" i="9"/>
  <c r="K30" i="3"/>
  <c r="K29" i="3"/>
  <c r="K31" i="3"/>
  <c r="K23" i="3"/>
  <c r="K20" i="3"/>
  <c r="F33" i="3"/>
  <c r="D33" i="3"/>
  <c r="G33" i="3"/>
  <c r="H12" i="3"/>
  <c r="L24" i="10"/>
  <c r="G12" i="3"/>
  <c r="N24" i="10"/>
  <c r="I12" i="3"/>
  <c r="H33" i="3"/>
  <c r="E33" i="3"/>
  <c r="M24" i="10"/>
  <c r="M7" i="10"/>
  <c r="M6" i="10"/>
  <c r="F8" i="10"/>
  <c r="M8" i="10" s="1"/>
  <c r="P6" i="10"/>
  <c r="P24" i="10"/>
  <c r="I8" i="10"/>
  <c r="P8" i="10" s="1"/>
  <c r="P7" i="10"/>
  <c r="E8" i="10"/>
  <c r="L8" i="10" s="1"/>
  <c r="O7" i="10"/>
  <c r="O6" i="10"/>
  <c r="H8" i="10"/>
  <c r="O8" i="10" s="1"/>
  <c r="N6" i="10"/>
  <c r="N7" i="10"/>
  <c r="G8" i="10"/>
  <c r="N8" i="10" s="1"/>
  <c r="O24" i="10"/>
  <c r="E12" i="3"/>
  <c r="K24" i="10"/>
  <c r="K6" i="10"/>
  <c r="D8" i="10"/>
  <c r="K8" i="10" s="1"/>
  <c r="L6" i="10"/>
  <c r="L7" i="10"/>
  <c r="F12" i="3"/>
  <c r="K16" i="3"/>
  <c r="P31" i="3" l="1"/>
  <c r="O31" i="3"/>
  <c r="P7" i="3"/>
  <c r="P21" i="3"/>
  <c r="P20" i="3"/>
  <c r="N7" i="3"/>
  <c r="N21" i="3"/>
  <c r="N20" i="3"/>
  <c r="L16" i="3"/>
  <c r="L21" i="3"/>
  <c r="L20" i="3"/>
  <c r="M16" i="3"/>
  <c r="M21" i="3"/>
  <c r="M20" i="3"/>
  <c r="O28" i="3"/>
  <c r="O21" i="3"/>
  <c r="O20" i="3"/>
  <c r="M23" i="3"/>
  <c r="L17" i="10"/>
  <c r="I19" i="10"/>
  <c r="P19" i="10" s="1"/>
  <c r="N17" i="10"/>
  <c r="N9" i="3"/>
  <c r="N12" i="3"/>
  <c r="N23" i="3"/>
  <c r="N19" i="3"/>
  <c r="O17" i="3"/>
  <c r="O33" i="3"/>
  <c r="O12" i="3"/>
  <c r="O18" i="3"/>
  <c r="O23" i="3"/>
  <c r="O7" i="3"/>
  <c r="O9" i="3"/>
  <c r="O16" i="3"/>
  <c r="K10" i="3"/>
  <c r="O17" i="10"/>
  <c r="O10" i="3"/>
  <c r="O19" i="3"/>
  <c r="O8" i="3"/>
  <c r="N8" i="3"/>
  <c r="N18" i="3"/>
  <c r="N28" i="3"/>
  <c r="L23" i="3"/>
  <c r="N10" i="3"/>
  <c r="N16" i="3"/>
  <c r="N17" i="3"/>
  <c r="L9" i="3"/>
  <c r="K17" i="10"/>
  <c r="L10" i="3"/>
  <c r="N33" i="3"/>
  <c r="M17" i="3"/>
  <c r="P19" i="3"/>
  <c r="P8" i="3"/>
  <c r="P17" i="3"/>
  <c r="K9" i="3"/>
  <c r="P16" i="3"/>
  <c r="P18" i="3"/>
  <c r="P10" i="3"/>
  <c r="P28" i="3"/>
  <c r="P9" i="3"/>
  <c r="K33" i="3"/>
  <c r="P12" i="3"/>
  <c r="P23" i="3"/>
  <c r="K7" i="3"/>
  <c r="L17" i="3"/>
  <c r="M12" i="3"/>
  <c r="M18" i="3"/>
  <c r="M7" i="3"/>
  <c r="M19" i="3"/>
  <c r="M9" i="3"/>
  <c r="M28" i="3"/>
  <c r="L33" i="3"/>
  <c r="M33" i="3"/>
  <c r="M8" i="3"/>
  <c r="M10" i="3"/>
  <c r="K12" i="3"/>
  <c r="K18" i="3"/>
  <c r="K19" i="3"/>
  <c r="K8" i="3"/>
  <c r="K28" i="3"/>
  <c r="K17" i="3"/>
  <c r="L12" i="3"/>
  <c r="L18" i="3"/>
  <c r="L8" i="3"/>
  <c r="L19" i="3"/>
  <c r="L28" i="3"/>
  <c r="L7" i="3"/>
  <c r="I33" i="3" l="1"/>
  <c r="P33" i="3" s="1"/>
  <c r="E19" i="10"/>
  <c r="L19" i="10" s="1"/>
  <c r="P17" i="10"/>
  <c r="G19" i="10"/>
  <c r="N19" i="10" s="1"/>
  <c r="H19" i="10"/>
  <c r="O19" i="10" s="1"/>
  <c r="M17" i="10"/>
  <c r="F19" i="10"/>
  <c r="M19" i="10" s="1"/>
  <c r="K19" i="10" l="1"/>
  <c r="D22" i="10" l="1"/>
  <c r="K22" i="10" s="1"/>
  <c r="D25" i="10"/>
  <c r="K25" i="10" s="1"/>
  <c r="D31" i="10"/>
  <c r="K31" i="10" s="1"/>
  <c r="K29" i="10" l="1"/>
  <c r="E27" i="10"/>
  <c r="F22" i="10"/>
  <c r="M22" i="10" s="1"/>
  <c r="I22" i="10"/>
  <c r="I25" i="10" s="1"/>
  <c r="P22" i="10"/>
  <c r="E22" i="10"/>
  <c r="E25" i="10" s="1"/>
  <c r="L22" i="10"/>
  <c r="H22" i="10"/>
  <c r="H25" i="10" s="1"/>
  <c r="G22" i="10"/>
  <c r="N22" i="10" s="1"/>
  <c r="G25" i="10"/>
  <c r="N25" i="10" s="1"/>
  <c r="G28" i="10"/>
  <c r="G29" i="10" s="1"/>
  <c r="N29" i="10" s="1"/>
  <c r="I28" i="10" l="1"/>
  <c r="P25" i="10"/>
  <c r="H28" i="10"/>
  <c r="O25" i="10"/>
  <c r="E28" i="10"/>
  <c r="L25" i="10"/>
  <c r="I29" i="10"/>
  <c r="P29" i="10" s="1"/>
  <c r="I31" i="10"/>
  <c r="P31" i="10" s="1"/>
  <c r="F25" i="10"/>
  <c r="O22" i="10"/>
  <c r="G31" i="10"/>
  <c r="N31" i="10" s="1"/>
  <c r="E29" i="10" l="1"/>
  <c r="L29" i="10" s="1"/>
  <c r="H29" i="10"/>
  <c r="O29" i="10" s="1"/>
  <c r="F28" i="10"/>
  <c r="M25" i="10"/>
  <c r="E31" i="10" l="1"/>
  <c r="L31" i="10" s="1"/>
  <c r="F29" i="10"/>
  <c r="M29" i="10" s="1"/>
  <c r="H31" i="10"/>
  <c r="O31" i="10" s="1"/>
  <c r="F31" i="10" l="1"/>
  <c r="M31" i="10" s="1"/>
  <c r="D29" i="4"/>
  <c r="H29" i="4"/>
  <c r="F29" i="4"/>
  <c r="G29" i="4"/>
  <c r="E29" i="4"/>
  <c r="I29" i="4"/>
</calcChain>
</file>

<file path=xl/sharedStrings.xml><?xml version="1.0" encoding="utf-8"?>
<sst xmlns="http://schemas.openxmlformats.org/spreadsheetml/2006/main" count="764" uniqueCount="400">
  <si>
    <t>USD / INR</t>
  </si>
  <si>
    <t>Segment</t>
  </si>
  <si>
    <t>FY2027</t>
  </si>
  <si>
    <t>FY2028</t>
  </si>
  <si>
    <t>FY2029</t>
  </si>
  <si>
    <t>FY2030</t>
  </si>
  <si>
    <t>FY2031</t>
  </si>
  <si>
    <t>FY2032</t>
  </si>
  <si>
    <t>Systems</t>
  </si>
  <si>
    <t>Sensors</t>
  </si>
  <si>
    <t>R&amp;D % of revenue (total)</t>
  </si>
  <si>
    <t>Total R&amp;D; split into run-rate + SoC4 5nm in P&amp;L</t>
  </si>
  <si>
    <t xml:space="preserve">  of which: run-rate R&amp;D %</t>
  </si>
  <si>
    <t>Sustaining SoC2 + software; remainder funds SoC4 5nm</t>
  </si>
  <si>
    <t>Sales &amp; Marketing % of revenue</t>
  </si>
  <si>
    <t>G&amp;A % of revenue</t>
  </si>
  <si>
    <t>D&amp;A % of revenue</t>
  </si>
  <si>
    <t>DeepGrid Semi Private Limited</t>
  </si>
  <si>
    <t>Revenue Master</t>
  </si>
  <si>
    <t>Revenue</t>
  </si>
  <si>
    <t>Volume</t>
  </si>
  <si>
    <t>Product</t>
  </si>
  <si>
    <t>Chiplet</t>
  </si>
  <si>
    <t>Platform</t>
  </si>
  <si>
    <t>Launch</t>
  </si>
  <si>
    <t>x</t>
  </si>
  <si>
    <t>A100</t>
  </si>
  <si>
    <t>H100</t>
  </si>
  <si>
    <t>T100</t>
  </si>
  <si>
    <t>Defence D-HUMR</t>
  </si>
  <si>
    <t>D100</t>
  </si>
  <si>
    <t>AD0 Smart Mirror (mandate retrofit)</t>
  </si>
  <si>
    <t>AD1 Indoor L4 kit</t>
  </si>
  <si>
    <t>Smart Truck (AD2 kit)</t>
  </si>
  <si>
    <t>Seaport AGV (port autonomy)</t>
  </si>
  <si>
    <t>Thermal camera (aftermarket)</t>
  </si>
  <si>
    <t>4D radar pod (aftermarket)</t>
  </si>
  <si>
    <t>H100 driver-monitor wearable</t>
  </si>
  <si>
    <t>Chipset OEM B2B (ASIC die)</t>
  </si>
  <si>
    <t>D100 drone SoC kit</t>
  </si>
  <si>
    <t>Total</t>
  </si>
  <si>
    <t>ASP</t>
  </si>
  <si>
    <t>Projected Sales Summary</t>
  </si>
  <si>
    <t>Expenses as a % of Revenue</t>
  </si>
  <si>
    <t>Comment</t>
  </si>
  <si>
    <t>Overheads</t>
  </si>
  <si>
    <t>Modelling Assumptions</t>
  </si>
  <si>
    <t>B.  PER-DIE COST AT VOLUME  (derived from die size + yield)</t>
  </si>
  <si>
    <t>C.  NRE BREAKEVEN</t>
  </si>
  <si>
    <t>D.  SoC4 5nm SLIP SENSITIVITY</t>
  </si>
  <si>
    <t>E.  BEYOND FY32 — THE NEXT GROWTH WAVE</t>
  </si>
  <si>
    <t>Line Item</t>
  </si>
  <si>
    <t>$</t>
  </si>
  <si>
    <t>Rs. Cr</t>
  </si>
  <si>
    <t>A100 block MPW (5mm2 x $13,800/mm2, 100 samples)</t>
  </si>
  <si>
    <t>R100 block MPW (5mm2 x $13,800/mm2, 100 samples)</t>
  </si>
  <si>
    <t>Full 57mm2 MPW prototype (1p8m 8-metal)</t>
  </si>
  <si>
    <t>SmartSoC backend -&gt; GDSII (PD / DFT / integration / signoff)</t>
  </si>
  <si>
    <t>Dedicated mask set (TSMC 28nm 1p8m, negotiable)</t>
  </si>
  <si>
    <t>IP — PrimeSoC MIPI + PCIe4 + LPDDR5X</t>
  </si>
  <si>
    <t>IP — Terminus Circuits PHY</t>
  </si>
  <si>
    <t>Total program NRE (one-time)</t>
  </si>
  <si>
    <t>muSemi shared block, TSMC 28nm; compute block</t>
  </si>
  <si>
    <t>muSemi shared block; radar DSP block</t>
  </si>
  <si>
    <t>muSemi full block $220k + 5 proto wafers @ $2,400</t>
  </si>
  <si>
    <t>After MPW blocks proven</t>
  </si>
  <si>
    <t>Full production mask, separate foundry cost</t>
  </si>
  <si>
    <t>Controller IP bundle (one-time licence)</t>
  </si>
  <si>
    <t>PHY IP; $400-600k negotiable, midpoint</t>
  </si>
  <si>
    <t>~$3.2M total; validate A100/R100 blocks on MPW, then full die, then dedicated mask</t>
  </si>
  <si>
    <t xml:space="preserve">A.  PHASED TAPEOUT PROGRAM </t>
  </si>
  <si>
    <t>SoC2 die area (mm2)</t>
  </si>
  <si>
    <t>Wafer diameter (mm)</t>
  </si>
  <si>
    <t>Gross die per wafer (edge-corrected)</t>
  </si>
  <si>
    <t>Yield (mature 28nm)</t>
  </si>
  <si>
    <t>Good die per wafer</t>
  </si>
  <si>
    <t>28nm wafer cost ($/wafer)</t>
  </si>
  <si>
    <t>Wafer cost per die ($)</t>
  </si>
  <si>
    <t>Assembly, test &amp; packaging ($)</t>
  </si>
  <si>
    <t>Per-die cost at volume ($)</t>
  </si>
  <si>
    <t>Incumbent ADAS SoC cost ($)</t>
  </si>
  <si>
    <t>Cost advantage vs incumbent (x)</t>
  </si>
  <si>
    <t>v7 single-die SoC2, TSMC 28nm HPC+</t>
  </si>
  <si>
    <t>Standard 300mm wafer</t>
  </si>
  <si>
    <t>GDPW formula: pi*r^2/A - pi*2r/sqrt(A)</t>
  </si>
  <si>
    <t>Murphy model at ~0.1/cm2 defect density</t>
  </si>
  <si>
    <t>Gross die x yield</t>
  </si>
  <si>
    <t>Volume-committed price (~500k dies); TSMC 28nm</t>
  </si>
  <si>
    <t>Wafer cost / good die</t>
  </si>
  <si>
    <t>OSAT / QuikPak at volume</t>
  </si>
  <si>
    <t>Wafer/die + ATP</t>
  </si>
  <si>
    <t>Mobileye/Nvidia class: $3,000-8,000</t>
  </si>
  <si>
    <t>Chip contribution inside a kit ($/chip)</t>
  </si>
  <si>
    <t>Gross margin per chip ($)</t>
  </si>
  <si>
    <t>Breakeven volume (chips to recover NRE)</t>
  </si>
  <si>
    <t>ASIC replaces Rs65k FPGA module; priced inside kit BOM</t>
  </si>
  <si>
    <t>Total NRE / gross margin per chip</t>
  </si>
  <si>
    <t>Silicon &amp; Compute revenue FY32 (on-time)</t>
  </si>
  <si>
    <t>Haircut if SoC4 tapes out 12 months late</t>
  </si>
  <si>
    <t>Silicon &amp; Compute revenue FY32 (slip case)</t>
  </si>
  <si>
    <t>SoC4 5nm is the option on the next two markets, both arriving post-FY32:</t>
  </si>
  <si>
    <t xml:space="preserve">   2. Datacenter-class chipset — a bigger bet: the same transformer-native architecture scaled to datacenter inference.</t>
  </si>
  <si>
    <t>The Rs300 Cr cumulative R&amp;D (FY28-32) is not a cost centre — it funds these two options from operating profit, so the</t>
  </si>
  <si>
    <t>FY33+ growth wave needs no new external capital for silicon. This is why R&amp;D runs high by design.</t>
  </si>
  <si>
    <t>Item</t>
  </si>
  <si>
    <t>From Sales Summary</t>
  </si>
  <si>
    <t>Market Analysis</t>
  </si>
  <si>
    <t>MARKET FUNNEL  (TAM -&gt; SAM -&gt; SOM)</t>
  </si>
  <si>
    <t>SOM — Our Reachable Share</t>
  </si>
  <si>
    <t>Layer</t>
  </si>
  <si>
    <t>Value</t>
  </si>
  <si>
    <t>India commercial-vehicle market (2025)</t>
  </si>
  <si>
    <t>India ADAS market (2024)</t>
  </si>
  <si>
    <t>TAM — mandated ADAS (AIS-184/186/187/188) annual</t>
  </si>
  <si>
    <t>SAM — N2/N3 trucks we target (new + retrofit)</t>
  </si>
  <si>
    <t>Annual new N2/N3 + bus production (mandated from FY26)</t>
  </si>
  <si>
    <t>Retrofit pool (existing N2/N3 fleet)</t>
  </si>
  <si>
    <t>Unit</t>
  </si>
  <si>
    <t>$B</t>
  </si>
  <si>
    <t>$M</t>
  </si>
  <si>
    <t>M units</t>
  </si>
  <si>
    <t>M units/yr</t>
  </si>
  <si>
    <t>IMARC 2025: $53.2B; Mordor $51.1B (corroborating)</t>
  </si>
  <si>
    <t>EMR 2024: $2.29B, 20.6% CAGR to ~$14.9B by 2034</t>
  </si>
  <si>
    <t>Telematicswire/Roadzen on GSR 184(E)</t>
  </si>
  <si>
    <t>~500k new/yr + ~500k retrofit (Roadzen/MoRTH)</t>
  </si>
  <si>
    <t>GSR 184(E) new-model scope, Apr 1 2026</t>
  </si>
  <si>
    <t>GSR 184(E) existing-model scope, Oct 1 2026</t>
  </si>
  <si>
    <t>AD2 (mandatory) units at FY32 (from our build)</t>
  </si>
  <si>
    <t>AD2 share of 1.0M mandated trucks (new+retrofit)</t>
  </si>
  <si>
    <t>AD0 (360 surround-view) units at FY32</t>
  </si>
  <si>
    <t>AD0 addressable: 360 surround-view market (2025)</t>
  </si>
  <si>
    <t>Particulars</t>
  </si>
  <si>
    <t>AD2 satisfies the AIS-184 ADAS mandate on N2/N3 trucks</t>
  </si>
  <si>
    <t>Single-digit share of the mandated pool; mandate = demand floor</t>
  </si>
  <si>
    <t>NOT mandated — voluntary safety/convenience buy, already selling</t>
  </si>
  <si>
    <t>Towards Automotive: $3.09B 2025, 10.7% CAGR; Maruti/Tata already fitting</t>
  </si>
  <si>
    <t>$3.09B</t>
  </si>
  <si>
    <t>Source and Comment</t>
  </si>
  <si>
    <t>PER-PRODUCT DEMAND  (every line tied to a sourced market pool)</t>
  </si>
  <si>
    <t>Autonomous TaaS (fleet)</t>
  </si>
  <si>
    <t>A100 compute box (3 SKUs)</t>
  </si>
  <si>
    <t>FY2032 Units</t>
  </si>
  <si>
    <t>Demand Pool and Market Size</t>
  </si>
  <si>
    <t>MANDATORY: 0.5M new N2/N3 trucks/yr + 0.5M retrofit</t>
  </si>
  <si>
    <t>Existing 360 surround-view market $3.1B (already selling)</t>
  </si>
  <si>
    <t>Warehouse/industrial autonomy; part of $4.8B edge-AI</t>
  </si>
  <si>
    <t>India trucking 0.6-0.8M units/yr; fleet ops</t>
  </si>
  <si>
    <t>Automated container terminal market $10.95B (2024)</t>
  </si>
  <si>
    <t>Automotive edge-AI accelerator modules $4.8B (2025)</t>
  </si>
  <si>
    <t>India ADAS chip pool; $2.29B ADAS (2024)</t>
  </si>
  <si>
    <t>Automotive thermal camera $1.68B global (2025)</t>
  </si>
  <si>
    <t>4D imaging radar $2.75B global (2025)</t>
  </si>
  <si>
    <t>DDAWS mandate (AIS-184) + global DMS demand</t>
  </si>
  <si>
    <t>Indian Army UGV/robotics procurement</t>
  </si>
  <si>
    <t>India defence + commercial drone SoC</t>
  </si>
  <si>
    <t>Capture %</t>
  </si>
  <si>
    <t>—</t>
  </si>
  <si>
    <t>MoRTH GSR 184(E) ADAS mandate on N2/N3</t>
  </si>
  <si>
    <t>Towards Automotive: $3.09B 2025, 10.7% CAGR</t>
  </si>
  <si>
    <t>Dataintelo/GMI automotive edge-AI 2025</t>
  </si>
  <si>
    <t>Mobility Foresights; TheGlobalEconomy 952k CV</t>
  </si>
  <si>
    <t>SNS Insider: $10.95B 2024 -&gt; $16.35B 2032, 5.2% CAGR</t>
  </si>
  <si>
    <t>Dataintelo: $4.8B 2025 -&gt; $22.6B 2034, 21% CAGR</t>
  </si>
  <si>
    <t>EMR 2024: $2.29B, 20.6% CAGR</t>
  </si>
  <si>
    <t>Verified Market Research: $1.68B 2025, 12% CAGR</t>
  </si>
  <si>
    <t>Business Research Co./Mordor: ~$2.75B 2025, 13% CAGR</t>
  </si>
  <si>
    <t>MoRTH AIS-184; EU Reg 2021/267 (commercial DMS)</t>
  </si>
  <si>
    <t>MoD/Army programs (existing Rs1 Cr revenue)</t>
  </si>
  <si>
    <t>Edge-AI drones segment (Mordor 18% CAGR)</t>
  </si>
  <si>
    <t>Reading the Capture %:</t>
  </si>
  <si>
    <t>1. Market sizes above are GLOBAL. Our near-term serviceable market is the India slice, where our share is materially higher — the small % = runway, not a ceiling.</t>
  </si>
  <si>
    <t>2. Seaport AGV pool ($10.95B) is TOTAL port automation (cranes + software + vehicles); the autonomous-vehicle layer we sell is a subset. Real proof point: live order at Vizag Container Terminal.</t>
  </si>
  <si>
    <t>3. Mandate timing: DDAWS / blind-spot / LDWS suite is live Apr &amp; Oct 2026 (what AD2 demand rests on). The AEBS braking piece (AIS-162/IS-11852) was deferred to Oct 1 2027 (Gadkari, Lok Sabha, Feb 2026) — does not affect the 2026 ADAS suite.</t>
  </si>
  <si>
    <t>Every line maps to a real, sized market: the FY32 volumes are a single-digit share of each pool. Demand headroom is large, not stretched.</t>
  </si>
  <si>
    <r>
      <rPr>
        <b/>
        <sz val="11"/>
        <color theme="1"/>
        <rFont val="Questrial"/>
      </rPr>
      <t>Sources</t>
    </r>
    <r>
      <rPr>
        <sz val="11"/>
        <color theme="1"/>
        <rFont val="Questrial"/>
      </rPr>
      <t>: MoRTH GSR 184(E) 20 Mar 2025; Roadzen/Telematicswire; IMARC &amp; Mordor (CV); EMR (ADAS); Dataintelo/GMI (edge-AI); Verified MR (thermal); Business Research Co. (4D radar); SNS Insider (container terminals). Share/conversion rows are our assumptions.</t>
    </r>
  </si>
  <si>
    <t>Projected Income Statement</t>
  </si>
  <si>
    <t>Margins</t>
  </si>
  <si>
    <t>Comments</t>
  </si>
  <si>
    <t>COGS</t>
  </si>
  <si>
    <t>Gross Profit</t>
  </si>
  <si>
    <t xml:space="preserve">  R&amp;D (total)</t>
  </si>
  <si>
    <t xml:space="preserve">     run-rate R&amp;D</t>
  </si>
  <si>
    <t xml:space="preserve">     SoC4 5nm tape-out program</t>
  </si>
  <si>
    <t xml:space="preserve">  Sales &amp; Marketing</t>
  </si>
  <si>
    <t xml:space="preserve">  G&amp;A</t>
  </si>
  <si>
    <t>Total Overheads</t>
  </si>
  <si>
    <t>Net Income</t>
  </si>
  <si>
    <t>EBITDA</t>
  </si>
  <si>
    <t>D&amp;A</t>
  </si>
  <si>
    <t>EBIT</t>
  </si>
  <si>
    <t>Interest</t>
  </si>
  <si>
    <t>EBT</t>
  </si>
  <si>
    <t>Loss Carryforward</t>
  </si>
  <si>
    <t>Tax (@25%)</t>
  </si>
  <si>
    <t>Taxable Income</t>
  </si>
  <si>
    <t>Use of Funds</t>
  </si>
  <si>
    <t>Sources of Capital</t>
  </si>
  <si>
    <t xml:space="preserve">Sources  </t>
  </si>
  <si>
    <t>$ M</t>
  </si>
  <si>
    <t>Pre-Series A equity round</t>
  </si>
  <si>
    <t>CGTMSE-backed term loan</t>
  </si>
  <si>
    <t>Equity; funds the SoC2 tapeout (18.07% to investor)</t>
  </si>
  <si>
    <t>Rs10 Cr (~$1.06M) collateral-free MSME debt; funds working capital, non-dilutive</t>
  </si>
  <si>
    <t>Use of Capital</t>
  </si>
  <si>
    <t>Allocation</t>
  </si>
  <si>
    <t>SoC2 tapeout NRE + IP (phased: MPW blocks -&gt; full die -&gt; dedicated mask)</t>
  </si>
  <si>
    <t>Engineering (chip + firmware + defence)</t>
  </si>
  <si>
    <t>AIS-162/188 certification + FPGA pilot</t>
  </si>
  <si>
    <t>Working capital / BD / inventory</t>
  </si>
  <si>
    <t>% OF Total</t>
  </si>
  <si>
    <t>Equity round is ~all silicon; loan covers working capital</t>
  </si>
  <si>
    <t>Grants &amp; Prior Funding</t>
  </si>
  <si>
    <t>ARAI certification grant</t>
  </si>
  <si>
    <t>HDFC Parivartan grant</t>
  </si>
  <si>
    <t>Angel funding to date</t>
  </si>
  <si>
    <t>Rs. 36 lakh - received</t>
  </si>
  <si>
    <t>~Rs. 2 Cr — fully deployed in operations (bank statement verified)</t>
  </si>
  <si>
    <t>Amount (In Cr.)</t>
  </si>
  <si>
    <t>Expense Schedules</t>
  </si>
  <si>
    <t xml:space="preserve">   S100 / SDV die</t>
  </si>
  <si>
    <t xml:space="preserve">   R100 radar-processor die</t>
  </si>
  <si>
    <t>Business Line</t>
  </si>
  <si>
    <t>Silicon</t>
  </si>
  <si>
    <t>S100</t>
  </si>
  <si>
    <t>R100</t>
  </si>
  <si>
    <t xml:space="preserve">   4D radar pod</t>
  </si>
  <si>
    <t xml:space="preserve">   Thermal camera</t>
  </si>
  <si>
    <t xml:space="preserve">   H100 driver-monitor (DMS)</t>
  </si>
  <si>
    <t xml:space="preserve">   AD1 Indoor Autonomy Stack</t>
  </si>
  <si>
    <t xml:space="preserve">   AD0 Smart Mirror (360)</t>
  </si>
  <si>
    <t xml:space="preserve">   AD3 Autonomous TaaS (fleet rental)</t>
  </si>
  <si>
    <t xml:space="preserve">   AD4 Seaport AGV</t>
  </si>
  <si>
    <t xml:space="preserve">   AD4 Heavy Transport AGV &gt;5T</t>
  </si>
  <si>
    <t xml:space="preserve">   AD4 Autonomous AUGV L4</t>
  </si>
  <si>
    <t xml:space="preserve">   AD4 Defence AUGV</t>
  </si>
  <si>
    <t xml:space="preserve">   AD4 Defence D-HUMR</t>
  </si>
  <si>
    <t xml:space="preserve">   AD4 Agricultural AUGV</t>
  </si>
  <si>
    <t xml:space="preserve">   AD4 Airport Patrol AUGV</t>
  </si>
  <si>
    <t xml:space="preserve">   AD4 Utility AUGV</t>
  </si>
  <si>
    <t xml:space="preserve">   AD4 Intl Delivery Robovan</t>
  </si>
  <si>
    <t xml:space="preserve">   AD4 Food Delivery Robot</t>
  </si>
  <si>
    <t xml:space="preserve">   AD4 D100 drone SoC kit</t>
  </si>
  <si>
    <t xml:space="preserve">   A100 compute box 1ch (M.2)</t>
  </si>
  <si>
    <t xml:space="preserve">   A100 compute box 2ch</t>
  </si>
  <si>
    <t xml:space="preserve">   A100 compute box 4ch (PCIe)</t>
  </si>
  <si>
    <t>Sentience</t>
  </si>
  <si>
    <t>Revenue(In Cr.)</t>
  </si>
  <si>
    <t>Revenue by Business Line</t>
  </si>
  <si>
    <t>Chipsets</t>
  </si>
  <si>
    <t>Licence / OEM Supply</t>
  </si>
  <si>
    <t>Sensor Modules</t>
  </si>
  <si>
    <t>Product Sales</t>
  </si>
  <si>
    <t>Robotics Systems</t>
  </si>
  <si>
    <t>Mobility Systems</t>
  </si>
  <si>
    <t>Rental / TaaS</t>
  </si>
  <si>
    <t>Compute Hardware</t>
  </si>
  <si>
    <t>AI Software / SaaS</t>
  </si>
  <si>
    <t>SaaS Subscription</t>
  </si>
  <si>
    <t>Product Category</t>
  </si>
  <si>
    <t>Commercial Model</t>
  </si>
  <si>
    <t xml:space="preserve">   AD2 Truck ADAS kit (compute+SW+sensors)</t>
  </si>
  <si>
    <t xml:space="preserve">   AD1 - AMR Autonomous Mobile Robot (up to 100kg)</t>
  </si>
  <si>
    <t xml:space="preserve">   DGrid AI Software licence (SaaS)</t>
  </si>
  <si>
    <t xml:space="preserve">   DGrid chipset die (B2B)</t>
  </si>
  <si>
    <t>Combined</t>
  </si>
  <si>
    <t>Revenue by Product Category</t>
  </si>
  <si>
    <t>Revenue (In Cr.)</t>
  </si>
  <si>
    <t>Revenue by Commercial Model</t>
  </si>
  <si>
    <t>Gross Margin by Business Line</t>
  </si>
  <si>
    <t>Equity-funded; see Tapeout tab</t>
  </si>
  <si>
    <t>Core platform R&amp;D</t>
  </si>
  <si>
    <t>Mandate compliance + pilots</t>
  </si>
  <si>
    <t>L4+ stack, field units</t>
  </si>
  <si>
    <t>Payroll Projections</t>
  </si>
  <si>
    <t>Department</t>
  </si>
  <si>
    <t>Headcount</t>
  </si>
  <si>
    <t>Monthly Gross</t>
  </si>
  <si>
    <t>Yearly Gross</t>
  </si>
  <si>
    <t>Total Payroll Cost</t>
  </si>
  <si>
    <t>AI</t>
  </si>
  <si>
    <t>Management</t>
  </si>
  <si>
    <t>Design</t>
  </si>
  <si>
    <t>Firmware</t>
  </si>
  <si>
    <t>Hardware</t>
  </si>
  <si>
    <t>HR</t>
  </si>
  <si>
    <t>Software</t>
  </si>
  <si>
    <t>Testing</t>
  </si>
  <si>
    <t>Rs. 12 Lakh - received - used for FPGA</t>
  </si>
  <si>
    <t>CGTMSE Debt Amortisation Schedule</t>
  </si>
  <si>
    <t>Overdraft Limit</t>
  </si>
  <si>
    <t>Interest Rate</t>
  </si>
  <si>
    <t>Assumed Utilization Rate</t>
  </si>
  <si>
    <t>Finance Cost</t>
  </si>
  <si>
    <t>Cap Table</t>
  </si>
  <si>
    <t>Name of the Shareholder</t>
  </si>
  <si>
    <t>Muralidhar Naidu Govardhan</t>
  </si>
  <si>
    <t>Aravind Prasad Govardhan</t>
  </si>
  <si>
    <t>Venkata</t>
  </si>
  <si>
    <t>Navin</t>
  </si>
  <si>
    <t>Hameed</t>
  </si>
  <si>
    <t>No of Shares</t>
  </si>
  <si>
    <t>% of Shareholding</t>
  </si>
  <si>
    <t>Type of Shareholders</t>
  </si>
  <si>
    <t>Total Shares</t>
  </si>
  <si>
    <t>Founder's Shares</t>
  </si>
  <si>
    <t>Angels</t>
  </si>
  <si>
    <t>Raghu Teja</t>
  </si>
  <si>
    <t>Tejovardhan</t>
  </si>
  <si>
    <t>Sales &amp; BD</t>
  </si>
  <si>
    <t>G&amp;A / Finance</t>
  </si>
  <si>
    <t>Operations</t>
  </si>
  <si>
    <t>Fabless die margin: low at launch (low volume, NRE amortization, first-run yield), rising to ~94% at volume as wafer-cost/die falls and the mask is amortized.</t>
  </si>
  <si>
    <t>Hardware modules (4D radar, thermal, DMS) carry BOM + assembly; margin lower, rising modestly with scale and supplier negotiation.</t>
  </si>
  <si>
    <t>Autonomy kits + compute boxes: blended HW+SW; SW/licence attach lifts margin sharply after the FY2027 pilot phase.</t>
  </si>
  <si>
    <t>Pure SaaS / AI licence — software economics, ~80–90% gross margin throughout.</t>
  </si>
  <si>
    <t>R&amp;D Expenses</t>
  </si>
  <si>
    <t>EDA tools &amp; design licences</t>
  </si>
  <si>
    <t>Cloud / HPC compute for AI training</t>
  </si>
  <si>
    <t>Lab, prototyping &amp; test equipment</t>
  </si>
  <si>
    <t>G&amp;A Expenses</t>
  </si>
  <si>
    <t>Sales and Marketing Expenses</t>
  </si>
  <si>
    <t>~Rs56 Cr lost; chip+box ramp pushed one year right</t>
  </si>
  <si>
    <t>Facilities &amp; rent (T-Hub + expansion)</t>
  </si>
  <si>
    <t>Legal, IP &amp; compliance</t>
  </si>
  <si>
    <t>Audit &amp; professional fees</t>
  </si>
  <si>
    <t>Insurance (D&amp;O, liability, product)</t>
  </si>
  <si>
    <t>IT, software &amp; subscriptions (non-R&amp;D)</t>
  </si>
  <si>
    <t>Travel &amp; other admin</t>
  </si>
  <si>
    <t>Digital marketing &amp; demand generation</t>
  </si>
  <si>
    <t>Field pilots, demos &amp; evaluation units</t>
  </si>
  <si>
    <t>Channel &amp; partner commissions</t>
  </si>
  <si>
    <t>Trade shows, events &amp; branding</t>
  </si>
  <si>
    <t>Customer success &amp; field support</t>
  </si>
  <si>
    <t>SoC4 5nm tape-out program</t>
  </si>
  <si>
    <t>Total Run Rate</t>
  </si>
  <si>
    <t>Total R&amp;D Expenses</t>
  </si>
  <si>
    <t>Payroll</t>
  </si>
  <si>
    <t>COGS Calculation</t>
  </si>
  <si>
    <t>Built bottom-up from 26 individual product lines (see Revenue Master) — unit volumes × ASPs by SKU, not top-down market-share assumptions. Reflects the FPGA-pilot-to-ASIC-volume transition from FY2027.</t>
  </si>
  <si>
    <t>Segment-weighted: each revenue line carries its own gross margin (see Assumptions). Blended gross margin expands from 53% to 88% as the mix shifts toward high-margin silicon and software and as the 28nm mask amortises across volume.</t>
  </si>
  <si>
    <t>Margin expansion is structural, not assumed — it follows the FPGA?ASIC cost transition (die cost falls ~16× at volume) and a rising software/licence attach rate.</t>
  </si>
  <si>
    <t>Fully-loaded headcount cost, built bottom-up by department (see Payroll). Shown as a discrete line for transparency; the R&amp;D, S&amp;M and G&amp;A lines below are non-payroll only, so there is no double-counting. Payroll falls from ~35% of revenue to ~3% as the team scales sub-linearly to revenue.</t>
  </si>
  <si>
    <t>Two components: run-rate R&amp;D sustaining the SoC2 platform and software, plus a dedicated SoC4 5nm program for the next-generation L4/robotaxi compute. Combined with R&amp;D salaries above, total R&amp;D investment runs ~30–35% of revenue — deliberately high, reflecting continuous silicon development as the core moat.</t>
  </si>
  <si>
    <t>Forward investment in the next-generation datacenter-class chip. Independent of the core ADAS business and discretionary — it can be deferred to accelerate profitability without affecting the primary revenue plan.</t>
  </si>
  <si>
    <t>Non-payroll go-to-market spend (demand generation, field pilots, channel, events). Runs ~13% of revenue at scale, consistent with a field-sales-led kit and fleet model serving commercial-vehicle and OEM channels.</t>
  </si>
  <si>
    <t>Non-payroll general and administrative (facilities, legal and IP, audit, insurance, IT). Declines from 10% to 7% of revenue as fixed overhead is leveraged across a growing base.</t>
  </si>
  <si>
    <t>Reaches the low-to-mid 30s% at scale — consistent with leading fabless-semiconductor economics. The one-time R&amp;D, infinite-margin-at-scale model drives operating leverage as the 28nm die replaces FPGA hardware in the cost base</t>
  </si>
  <si>
    <t>Modest, reflecting the fabless model — no fabrication capex. Primarily amortisation of capitalised design/NRE cost rather than plant depreciation.</t>
  </si>
  <si>
    <t>On the 10 Cr CGTMSE-backed working-capital facility (collateral-free MSME scheme) at an assumed 25% drawdown — non-dilutive capital that preserves equity for silicon.</t>
  </si>
  <si>
    <t>Standard 25% corporate rate, applied after utilising FY2027–FY2028 carried-forward losses.</t>
  </si>
  <si>
    <t>Company turns profitable at the net level in FY2029, the first full year of ASIC-based revenue — two years after the round</t>
  </si>
  <si>
    <t xml:space="preserve">   1. Robotaxi / L4 on Indian roads — SoC4 is the compute to win it; the company are chip-ready when the market arrives.</t>
  </si>
  <si>
    <t>Founder-led, with early angels who are domain operators (including DFT/semiconductor engineers backing the company personally) — conviction capital from people who understand silicon.</t>
  </si>
  <si>
    <t>55 Cr blended: 45 Cr equity funds the value-creating silicon and tapeout; 10 Cr non-dilutive CGTMSE debt funds working capital. Dilution is tied only to the milestone that creates enterprise value.</t>
  </si>
  <si>
    <t>DEEPGRID SEMI PRIVATE LIMITED</t>
  </si>
  <si>
    <t>India's First Full-Stack ADAS Company — Built on Its Own Transformer Silicon</t>
  </si>
  <si>
    <t>Business Plan &amp; Financial Model  ·  Pre-Series A  ·  June 2026</t>
  </si>
  <si>
    <t>THE OPPORTUNITY</t>
  </si>
  <si>
    <t>FY2032 PROJECTIONS</t>
  </si>
  <si>
    <t>Instrument</t>
  </si>
  <si>
    <t>Equity / Compulsorily Convertible</t>
  </si>
  <si>
    <t>REVENUE</t>
  </si>
  <si>
    <t>Raise target</t>
  </si>
  <si>
    <t>USD $4.0 – 5.0M   (≈ ₹45 Cr)</t>
  </si>
  <si>
    <t>₹ Cr  ·  FY2032E</t>
  </si>
  <si>
    <t>₹ Cr  ·  ~39% margin</t>
  </si>
  <si>
    <t>Stage</t>
  </si>
  <si>
    <t>Pre-Series A</t>
  </si>
  <si>
    <t>Key use</t>
  </si>
  <si>
    <t>SoC2 28nm tapeout → ASIC scale</t>
  </si>
  <si>
    <t>NET INCOME</t>
  </si>
  <si>
    <t>GROSS MARGIN</t>
  </si>
  <si>
    <t>~80% silicon &amp; tapeout · balance GTM</t>
  </si>
  <si>
    <t>FY2032E</t>
  </si>
  <si>
    <t>SIX-YEAR FINANCIAL SUMMARY  (₹ Crore)</t>
  </si>
  <si>
    <t>Net income</t>
  </si>
  <si>
    <t>WORKBOOK CONTENTS</t>
  </si>
  <si>
    <t>P&amp;L</t>
  </si>
  <si>
    <t>Projected income statement, FY27–FY32</t>
  </si>
  <si>
    <t>Tapeout Expenses</t>
  </si>
  <si>
    <t>SoC2 28nm NRE &amp; mask phasing</t>
  </si>
  <si>
    <t>Bottom-up build — 26 product lines</t>
  </si>
  <si>
    <t>Sources &amp; uses of the round</t>
  </si>
  <si>
    <t>Sales Summary</t>
  </si>
  <si>
    <t>Revenue by line, category &amp; model</t>
  </si>
  <si>
    <t>Shareholding pre-round</t>
  </si>
  <si>
    <t>Assumptions</t>
  </si>
  <si>
    <t>Margins, opex ratios, FX</t>
  </si>
  <si>
    <t>CGTMSE Debt</t>
  </si>
  <si>
    <t>Non-dilutive working-capital facility</t>
  </si>
  <si>
    <t>Headcount &amp; fully-loaded people cost</t>
  </si>
  <si>
    <t>Market</t>
  </si>
  <si>
    <t>TAM, mandate &amp; competitive pricing</t>
  </si>
  <si>
    <t>Non-payroll R&amp;D / S&amp;M / G&amp;A detail</t>
  </si>
  <si>
    <t>Historical Context</t>
  </si>
  <si>
    <t>Prior-year background</t>
  </si>
  <si>
    <t>STRICTLY CONFIDENTIAL — This financial model is furnished through Emani Capital Advisory Pvt Ltd solely for the evaluation of the proposed Pre-Series A investment. It may not be reproduced or distributed without prior written consent. Figures are management projections, not audited, and subject to the assumptions set out herein.
Contact: Haradatta Emani · haradatta@emanicapital.com · +91 98496 53907</t>
  </si>
  <si>
    <t>Finanacial Overview</t>
  </si>
  <si>
    <t>Working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</si>
</sst>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1">
    <numFmt numFmtId="43" formatCode="_ * #,##0.00_ ;_ * \-#,##0.00_ ;_ * &quot;-&quot;??_ ;_ @_ "/>
    <numFmt numFmtId="168" formatCode="_ * #,##0_ ;_ * \-#,##0_ ;_ * \-??_ ;_ @_ "/>
    <numFmt numFmtId="169" formatCode="_ * #,##0.0_ ;_ * \-#,##0.0_ ;_ * \-??_ ;_ @_ "/>
    <numFmt numFmtId="170" formatCode="_ * #,##0.00_ ;_ * \-#,##0.00_ ;_ * \-??_ ;_ @_ "/>
    <numFmt numFmtId="172" formatCode="_ * #,##0.0_ ;_ * \-#,##0.0_ ;_ * &quot;-&quot;??_ ;_ @_ "/>
    <numFmt numFmtId="173" formatCode="_ * #,##0_ ;_ * \-#,##0_ ;_ * &quot;-&quot;??_ ;_ @_ "/>
    <numFmt numFmtId="174" formatCode="0.0%"/>
    <numFmt numFmtId="175" formatCode="_-[$$-409]* #,##0.00_ ;_-[$$-409]* \-#,##0.00\ ;_-[$$-409]* &quot;-&quot;??_ ;_-@_ "/>
    <numFmt numFmtId="177" formatCode="0\x"/>
    <numFmt numFmtId="179" formatCode="_ * #,##0.0_ ;_ * \-#,##0.0_ ;_ * &quot;-&quot;?_ ;_ @_ "/>
    <numFmt numFmtId="184" formatCode="#,##0.0"/>
  </numFmts>
  <fonts count="2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Questrial"/>
    </font>
    <font>
      <sz val="11"/>
      <color theme="1"/>
      <name val="Questrial"/>
    </font>
    <font>
      <b/>
      <sz val="9"/>
      <color rgb="FF000000"/>
      <name val="Questrial"/>
    </font>
    <font>
      <sz val="9"/>
      <color rgb="FF000000"/>
      <name val="Questrial"/>
    </font>
    <font>
      <i/>
      <sz val="9"/>
      <color theme="1"/>
      <name val="Questrial"/>
    </font>
    <font>
      <sz val="9"/>
      <color rgb="FF00B0F0"/>
      <name val="Questrial"/>
    </font>
    <font>
      <sz val="9"/>
      <name val="Questrial"/>
    </font>
    <font>
      <b/>
      <sz val="9"/>
      <name val="Questrial"/>
    </font>
    <font>
      <sz val="11"/>
      <color rgb="FF00B0F0"/>
      <name val="Questrial"/>
    </font>
    <font>
      <sz val="11"/>
      <color rgb="FF000000"/>
      <name val="Calibri"/>
      <family val="2"/>
      <charset val="1"/>
    </font>
    <font>
      <sz val="9"/>
      <color theme="1"/>
      <name val="Questrial"/>
    </font>
    <font>
      <b/>
      <sz val="9"/>
      <color theme="1"/>
      <name val="Questrial"/>
    </font>
    <font>
      <b/>
      <sz val="20"/>
      <color rgb="FFFFFFFF"/>
      <name val="Questrial"/>
    </font>
    <font>
      <sz val="11"/>
      <color rgb="FFFFFFFF"/>
      <name val="Questrial"/>
    </font>
    <font>
      <sz val="10"/>
      <color rgb="FF9FD9F2"/>
      <name val="Questrial"/>
    </font>
    <font>
      <b/>
      <sz val="10"/>
      <color rgb="FF0E7C8B"/>
      <name val="Questrial"/>
    </font>
    <font>
      <b/>
      <sz val="9"/>
      <color rgb="FF5F6B76"/>
      <name val="Questrial"/>
    </font>
    <font>
      <sz val="9"/>
      <color rgb="FF1A1A1A"/>
      <name val="Questrial"/>
    </font>
    <font>
      <b/>
      <sz val="8"/>
      <color rgb="FF0C447C"/>
      <name val="Questrial"/>
    </font>
    <font>
      <b/>
      <sz val="16"/>
      <color rgb="FF0B1B2B"/>
      <name val="Questrial"/>
    </font>
    <font>
      <sz val="7.5"/>
      <color rgb="FF5F6B76"/>
      <name val="Questrial"/>
    </font>
    <font>
      <b/>
      <sz val="9"/>
      <color rgb="FF1A1A1A"/>
      <name val="Questrial"/>
    </font>
    <font>
      <b/>
      <sz val="9"/>
      <color rgb="FF0C447C"/>
      <name val="Questrial"/>
    </font>
    <font>
      <sz val="8.5"/>
      <color rgb="FF5F6B76"/>
      <name val="Questrial"/>
    </font>
    <font>
      <sz val="8.5"/>
      <color rgb="FFFFFFFF"/>
      <name val="Questrial"/>
    </font>
    <font>
      <b/>
      <sz val="9"/>
      <color theme="0"/>
      <name val="Questrial"/>
    </font>
  </fonts>
  <fills count="9">
    <fill>
      <patternFill patternType="none"/>
    </fill>
    <fill>
      <patternFill patternType="gray125"/>
    </fill>
    <fill>
      <patternFill patternType="solid">
        <fgColor rgb="FFDBE9F7"/>
        <bgColor rgb="FFE0F7FA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0B1B2B"/>
      </patternFill>
    </fill>
    <fill>
      <patternFill patternType="solid">
        <fgColor rgb="FF00B0F0"/>
      </patternFill>
    </fill>
    <fill>
      <patternFill patternType="solid">
        <fgColor rgb="FFFFFFFF"/>
      </patternFill>
    </fill>
    <fill>
      <patternFill patternType="solid">
        <fgColor rgb="FFDBE9F7"/>
      </patternFill>
    </fill>
    <fill>
      <patternFill patternType="solid">
        <fgColor rgb="FF00B0F0"/>
        <bgColor indexed="64"/>
      </patternFill>
    </fill>
  </fills>
  <borders count="14">
    <border>
      <left/>
      <right/>
      <top/>
      <bottom/>
      <diagonal/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>
      <left style="thin">
        <color theme="2"/>
      </left>
      <right style="thin">
        <color theme="2"/>
      </right>
      <top style="thin">
        <color theme="2"/>
      </top>
      <bottom style="thin">
        <color theme="2"/>
      </bottom>
      <diagonal/>
    </border>
    <border>
      <left style="thin">
        <color rgb="FFD0D0D0"/>
      </left>
      <right style="thin">
        <color rgb="FFD0D0D0"/>
      </right>
      <top style="thin">
        <color rgb="FFD0D0D0"/>
      </top>
      <bottom/>
      <diagonal/>
    </border>
    <border>
      <left style="thin">
        <color rgb="FFD0D0D0"/>
      </left>
      <right style="thin">
        <color rgb="FFD0D0D0"/>
      </right>
      <top/>
      <bottom/>
      <diagonal/>
    </border>
    <border>
      <left style="thin">
        <color rgb="FFD0D0D0"/>
      </left>
      <right style="thin">
        <color rgb="FFD0D0D0"/>
      </right>
      <top/>
      <bottom style="thin">
        <color rgb="FFD0D0D0"/>
      </bottom>
      <diagonal/>
    </border>
    <border>
      <left style="thin">
        <color rgb="FFD9DEE3"/>
      </left>
      <right style="thin">
        <color rgb="FFD9DEE3"/>
      </right>
      <top style="thin">
        <color rgb="FFD9DEE3"/>
      </top>
      <bottom/>
      <diagonal/>
    </border>
    <border>
      <left style="thin">
        <color rgb="FFD9DEE3"/>
      </left>
      <right style="thin">
        <color rgb="FFD9DEE3"/>
      </right>
      <top/>
      <bottom/>
      <diagonal/>
    </border>
    <border>
      <left style="thin">
        <color rgb="FFD9DEE3"/>
      </left>
      <right style="thin">
        <color rgb="FFD9DEE3"/>
      </right>
      <top/>
      <bottom style="thin">
        <color rgb="FFD9DEE3"/>
      </bottom>
      <diagonal/>
    </border>
    <border>
      <left style="thin">
        <color rgb="FFD9DEE3"/>
      </left>
      <right/>
      <top style="thin">
        <color rgb="FFD9DEE3"/>
      </top>
      <bottom style="thin">
        <color rgb="FFD9DEE3"/>
      </bottom>
      <diagonal/>
    </border>
    <border>
      <left/>
      <right/>
      <top style="thin">
        <color rgb="FFD9DEE3"/>
      </top>
      <bottom style="thin">
        <color rgb="FFD9DEE3"/>
      </bottom>
      <diagonal/>
    </border>
    <border>
      <left/>
      <right style="thin">
        <color rgb="FFD9DEE3"/>
      </right>
      <top style="thin">
        <color rgb="FFD9DEE3"/>
      </top>
      <bottom style="thin">
        <color rgb="FFD9DEE3"/>
      </bottom>
      <diagonal/>
    </border>
    <border>
      <left style="thin">
        <color rgb="FFD9DEE3"/>
      </left>
      <right/>
      <top/>
      <bottom style="thin">
        <color rgb="FFD9DEE3"/>
      </bottom>
      <diagonal/>
    </border>
    <border>
      <left/>
      <right/>
      <top/>
      <bottom style="thin">
        <color rgb="FFD9DEE3"/>
      </bottom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1" fillId="0" borderId="0"/>
  </cellStyleXfs>
  <cellXfs count="130">
    <xf numFmtId="0" fontId="0" fillId="0" borderId="0" xfId="0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168" fontId="4" fillId="0" borderId="0" xfId="0" applyNumberFormat="1" applyFont="1"/>
    <xf numFmtId="168" fontId="5" fillId="0" borderId="0" xfId="0" applyNumberFormat="1" applyFont="1"/>
    <xf numFmtId="0" fontId="4" fillId="2" borderId="1" xfId="0" applyFont="1" applyFill="1" applyBorder="1"/>
    <xf numFmtId="168" fontId="4" fillId="2" borderId="1" xfId="0" applyNumberFormat="1" applyFont="1" applyFill="1" applyBorder="1" applyAlignment="1">
      <alignment horizontal="right"/>
    </xf>
    <xf numFmtId="168" fontId="5" fillId="0" borderId="0" xfId="0" applyNumberFormat="1" applyFont="1" applyAlignment="1">
      <alignment horizontal="right"/>
    </xf>
    <xf numFmtId="0" fontId="5" fillId="0" borderId="1" xfId="0" applyFont="1" applyBorder="1"/>
    <xf numFmtId="168" fontId="5" fillId="0" borderId="1" xfId="0" applyNumberFormat="1" applyFont="1" applyBorder="1"/>
    <xf numFmtId="0" fontId="4" fillId="0" borderId="0" xfId="0" applyFont="1" applyFill="1" applyBorder="1"/>
    <xf numFmtId="168" fontId="4" fillId="0" borderId="0" xfId="0" applyNumberFormat="1" applyFont="1" applyFill="1" applyBorder="1"/>
    <xf numFmtId="0" fontId="4" fillId="0" borderId="1" xfId="0" applyFont="1" applyBorder="1"/>
    <xf numFmtId="169" fontId="5" fillId="0" borderId="1" xfId="0" applyNumberFormat="1" applyFont="1" applyBorder="1"/>
    <xf numFmtId="169" fontId="3" fillId="0" borderId="0" xfId="0" applyNumberFormat="1" applyFont="1"/>
    <xf numFmtId="169" fontId="4" fillId="0" borderId="0" xfId="0" applyNumberFormat="1" applyFont="1" applyFill="1" applyBorder="1"/>
    <xf numFmtId="169" fontId="4" fillId="0" borderId="0" xfId="0" applyNumberFormat="1" applyFont="1"/>
    <xf numFmtId="169" fontId="5" fillId="0" borderId="0" xfId="0" applyNumberFormat="1" applyFont="1"/>
    <xf numFmtId="169" fontId="4" fillId="2" borderId="1" xfId="0" applyNumberFormat="1" applyFont="1" applyFill="1" applyBorder="1" applyAlignment="1">
      <alignment horizontal="right"/>
    </xf>
    <xf numFmtId="0" fontId="6" fillId="0" borderId="0" xfId="0" applyFont="1"/>
    <xf numFmtId="9" fontId="3" fillId="0" borderId="0" xfId="2" applyFont="1"/>
    <xf numFmtId="9" fontId="4" fillId="0" borderId="0" xfId="2" applyFont="1"/>
    <xf numFmtId="9" fontId="5" fillId="0" borderId="0" xfId="2" applyFont="1"/>
    <xf numFmtId="9" fontId="5" fillId="0" borderId="1" xfId="2" applyFont="1" applyBorder="1"/>
    <xf numFmtId="9" fontId="3" fillId="0" borderId="0" xfId="2" applyFont="1" applyAlignment="1">
      <alignment horizontal="left"/>
    </xf>
    <xf numFmtId="9" fontId="4" fillId="0" borderId="0" xfId="2" applyFont="1" applyAlignment="1">
      <alignment horizontal="left"/>
    </xf>
    <xf numFmtId="169" fontId="4" fillId="2" borderId="1" xfId="0" applyNumberFormat="1" applyFont="1" applyFill="1" applyBorder="1" applyAlignment="1">
      <alignment horizontal="left"/>
    </xf>
    <xf numFmtId="9" fontId="5" fillId="0" borderId="1" xfId="2" applyFont="1" applyBorder="1" applyAlignment="1">
      <alignment horizontal="left"/>
    </xf>
    <xf numFmtId="0" fontId="3" fillId="0" borderId="0" xfId="0" applyFont="1" applyFill="1"/>
    <xf numFmtId="9" fontId="5" fillId="0" borderId="1" xfId="2" applyFont="1" applyFill="1" applyBorder="1" applyAlignment="1">
      <alignment horizontal="left"/>
    </xf>
    <xf numFmtId="43" fontId="5" fillId="0" borderId="1" xfId="1" applyFont="1" applyBorder="1"/>
    <xf numFmtId="172" fontId="5" fillId="0" borderId="1" xfId="1" applyNumberFormat="1" applyFont="1" applyBorder="1"/>
    <xf numFmtId="173" fontId="5" fillId="0" borderId="1" xfId="1" applyNumberFormat="1" applyFont="1" applyBorder="1"/>
    <xf numFmtId="172" fontId="3" fillId="0" borderId="0" xfId="1" applyNumberFormat="1" applyFont="1"/>
    <xf numFmtId="172" fontId="4" fillId="2" borderId="1" xfId="1" applyNumberFormat="1" applyFont="1" applyFill="1" applyBorder="1" applyAlignment="1">
      <alignment horizontal="right"/>
    </xf>
    <xf numFmtId="173" fontId="3" fillId="0" borderId="0" xfId="1" applyNumberFormat="1" applyFont="1"/>
    <xf numFmtId="173" fontId="5" fillId="0" borderId="0" xfId="1" applyNumberFormat="1" applyFont="1"/>
    <xf numFmtId="173" fontId="4" fillId="2" borderId="1" xfId="1" applyNumberFormat="1" applyFont="1" applyFill="1" applyBorder="1" applyAlignment="1">
      <alignment horizontal="right"/>
    </xf>
    <xf numFmtId="0" fontId="5" fillId="0" borderId="0" xfId="0" applyFont="1" applyBorder="1"/>
    <xf numFmtId="9" fontId="5" fillId="0" borderId="0" xfId="2" applyFont="1" applyBorder="1"/>
    <xf numFmtId="9" fontId="5" fillId="0" borderId="0" xfId="2" applyFont="1" applyFill="1" applyBorder="1" applyAlignment="1">
      <alignment horizontal="left"/>
    </xf>
    <xf numFmtId="173" fontId="4" fillId="0" borderId="0" xfId="1" applyNumberFormat="1" applyFont="1"/>
    <xf numFmtId="173" fontId="5" fillId="0" borderId="0" xfId="1" applyNumberFormat="1" applyFont="1" applyBorder="1"/>
    <xf numFmtId="174" fontId="5" fillId="0" borderId="1" xfId="2" applyNumberFormat="1" applyFont="1" applyBorder="1"/>
    <xf numFmtId="173" fontId="7" fillId="0" borderId="1" xfId="1" applyNumberFormat="1" applyFont="1" applyBorder="1"/>
    <xf numFmtId="174" fontId="8" fillId="0" borderId="1" xfId="2" applyNumberFormat="1" applyFont="1" applyBorder="1"/>
    <xf numFmtId="175" fontId="7" fillId="0" borderId="1" xfId="1" applyNumberFormat="1" applyFont="1" applyBorder="1"/>
    <xf numFmtId="175" fontId="5" fillId="0" borderId="1" xfId="1" applyNumberFormat="1" applyFont="1" applyBorder="1"/>
    <xf numFmtId="175" fontId="4" fillId="0" borderId="1" xfId="1" applyNumberFormat="1" applyFont="1" applyBorder="1"/>
    <xf numFmtId="177" fontId="5" fillId="0" borderId="1" xfId="1" applyNumberFormat="1" applyFont="1" applyBorder="1"/>
    <xf numFmtId="172" fontId="5" fillId="0" borderId="1" xfId="2" applyNumberFormat="1" applyFont="1" applyBorder="1"/>
    <xf numFmtId="175" fontId="8" fillId="0" borderId="1" xfId="1" applyNumberFormat="1" applyFont="1" applyBorder="1"/>
    <xf numFmtId="173" fontId="4" fillId="0" borderId="1" xfId="1" applyNumberFormat="1" applyFont="1" applyBorder="1"/>
    <xf numFmtId="9" fontId="4" fillId="0" borderId="1" xfId="2" applyFont="1" applyFill="1" applyBorder="1" applyAlignment="1">
      <alignment horizontal="left"/>
    </xf>
    <xf numFmtId="9" fontId="7" fillId="0" borderId="1" xfId="2" applyFont="1" applyBorder="1"/>
    <xf numFmtId="0" fontId="10" fillId="0" borderId="0" xfId="0" applyFont="1"/>
    <xf numFmtId="170" fontId="5" fillId="0" borderId="1" xfId="0" applyNumberFormat="1" applyFont="1" applyBorder="1"/>
    <xf numFmtId="9" fontId="5" fillId="0" borderId="0" xfId="2" applyFont="1" applyBorder="1" applyAlignment="1">
      <alignment horizontal="left"/>
    </xf>
    <xf numFmtId="170" fontId="5" fillId="0" borderId="1" xfId="0" applyNumberFormat="1" applyFont="1" applyBorder="1" applyAlignment="1">
      <alignment horizontal="right"/>
    </xf>
    <xf numFmtId="168" fontId="7" fillId="0" borderId="1" xfId="0" applyNumberFormat="1" applyFont="1" applyBorder="1"/>
    <xf numFmtId="169" fontId="4" fillId="0" borderId="1" xfId="0" applyNumberFormat="1" applyFont="1" applyBorder="1"/>
    <xf numFmtId="0" fontId="5" fillId="0" borderId="1" xfId="0" applyFont="1" applyBorder="1" applyAlignment="1">
      <alignment horizontal="left" indent="1"/>
    </xf>
    <xf numFmtId="9" fontId="4" fillId="0" borderId="1" xfId="2" applyFont="1" applyBorder="1"/>
    <xf numFmtId="172" fontId="4" fillId="0" borderId="1" xfId="0" applyNumberFormat="1" applyFont="1" applyBorder="1"/>
    <xf numFmtId="170" fontId="3" fillId="0" borderId="0" xfId="0" applyNumberFormat="1" applyFont="1"/>
    <xf numFmtId="170" fontId="5" fillId="0" borderId="0" xfId="0" applyNumberFormat="1" applyFont="1" applyBorder="1"/>
    <xf numFmtId="179" fontId="3" fillId="0" borderId="0" xfId="0" applyNumberFormat="1" applyFont="1"/>
    <xf numFmtId="0" fontId="5" fillId="0" borderId="1" xfId="0" applyFont="1" applyBorder="1" applyAlignment="1">
      <alignment horizontal="left"/>
    </xf>
    <xf numFmtId="0" fontId="12" fillId="0" borderId="0" xfId="0" applyFont="1" applyFill="1"/>
    <xf numFmtId="173" fontId="12" fillId="0" borderId="0" xfId="1" applyNumberFormat="1" applyFont="1" applyFill="1"/>
    <xf numFmtId="0" fontId="13" fillId="0" borderId="0" xfId="0" applyFont="1" applyFill="1"/>
    <xf numFmtId="1" fontId="12" fillId="0" borderId="0" xfId="0" applyNumberFormat="1" applyFont="1" applyFill="1"/>
    <xf numFmtId="1" fontId="13" fillId="0" borderId="0" xfId="0" applyNumberFormat="1" applyFont="1" applyFill="1"/>
    <xf numFmtId="173" fontId="13" fillId="0" borderId="0" xfId="1" applyNumberFormat="1" applyFont="1" applyFill="1"/>
    <xf numFmtId="1" fontId="8" fillId="0" borderId="0" xfId="0" applyNumberFormat="1" applyFont="1" applyFill="1"/>
    <xf numFmtId="0" fontId="9" fillId="0" borderId="0" xfId="0" applyFont="1" applyFill="1" applyAlignment="1">
      <alignment horizontal="center"/>
    </xf>
    <xf numFmtId="0" fontId="8" fillId="0" borderId="0" xfId="0" applyFont="1" applyFill="1"/>
    <xf numFmtId="173" fontId="8" fillId="0" borderId="0" xfId="1" applyNumberFormat="1" applyFont="1" applyFill="1"/>
    <xf numFmtId="0" fontId="9" fillId="3" borderId="2" xfId="0" applyFont="1" applyFill="1" applyBorder="1" applyAlignment="1">
      <alignment horizontal="left" vertical="center"/>
    </xf>
    <xf numFmtId="0" fontId="5" fillId="0" borderId="2" xfId="0" applyFont="1" applyFill="1" applyBorder="1" applyAlignment="1">
      <alignment horizontal="left" vertical="center"/>
    </xf>
    <xf numFmtId="0" fontId="4" fillId="0" borderId="2" xfId="0" applyFont="1" applyFill="1" applyBorder="1" applyAlignment="1">
      <alignment horizontal="left" vertical="center"/>
    </xf>
    <xf numFmtId="3" fontId="5" fillId="0" borderId="2" xfId="0" applyNumberFormat="1" applyFont="1" applyFill="1" applyBorder="1" applyAlignment="1">
      <alignment horizontal="right" vertical="center"/>
    </xf>
    <xf numFmtId="3" fontId="4" fillId="0" borderId="2" xfId="0" applyNumberFormat="1" applyFont="1" applyFill="1" applyBorder="1" applyAlignment="1">
      <alignment horizontal="right" vertical="center"/>
    </xf>
    <xf numFmtId="172" fontId="8" fillId="0" borderId="1" xfId="1" applyNumberFormat="1" applyFont="1" applyBorder="1"/>
    <xf numFmtId="172" fontId="9" fillId="0" borderId="1" xfId="1" applyNumberFormat="1" applyFont="1" applyBorder="1"/>
    <xf numFmtId="174" fontId="4" fillId="0" borderId="1" xfId="2" applyNumberFormat="1" applyFont="1" applyBorder="1"/>
    <xf numFmtId="184" fontId="5" fillId="0" borderId="2" xfId="0" applyNumberFormat="1" applyFont="1" applyFill="1" applyBorder="1" applyAlignment="1">
      <alignment horizontal="right" vertical="center"/>
    </xf>
    <xf numFmtId="184" fontId="4" fillId="0" borderId="2" xfId="0" applyNumberFormat="1" applyFont="1" applyFill="1" applyBorder="1" applyAlignment="1">
      <alignment horizontal="right" vertical="center"/>
    </xf>
    <xf numFmtId="172" fontId="5" fillId="0" borderId="2" xfId="1" applyNumberFormat="1" applyFont="1" applyFill="1" applyBorder="1" applyAlignment="1">
      <alignment horizontal="right" vertical="center"/>
    </xf>
    <xf numFmtId="172" fontId="4" fillId="0" borderId="2" xfId="1" applyNumberFormat="1" applyFont="1" applyFill="1" applyBorder="1" applyAlignment="1">
      <alignment horizontal="right" vertical="center"/>
    </xf>
    <xf numFmtId="43" fontId="12" fillId="0" borderId="0" xfId="1" applyFont="1" applyFill="1"/>
    <xf numFmtId="172" fontId="12" fillId="0" borderId="0" xfId="1" applyNumberFormat="1" applyFont="1" applyFill="1"/>
    <xf numFmtId="0" fontId="4" fillId="0" borderId="1" xfId="0" applyFont="1" applyBorder="1" applyAlignment="1">
      <alignment horizontal="left" indent="1"/>
    </xf>
    <xf numFmtId="174" fontId="12" fillId="0" borderId="0" xfId="0" applyNumberFormat="1" applyFont="1" applyFill="1"/>
    <xf numFmtId="43" fontId="12" fillId="0" borderId="0" xfId="0" applyNumberFormat="1" applyFont="1" applyFill="1"/>
    <xf numFmtId="3" fontId="12" fillId="0" borderId="0" xfId="0" applyNumberFormat="1" applyFont="1" applyFill="1"/>
    <xf numFmtId="174" fontId="5" fillId="0" borderId="3" xfId="2" applyNumberFormat="1" applyFont="1" applyBorder="1" applyAlignment="1">
      <alignment horizontal="center" vertical="center" wrapText="1"/>
    </xf>
    <xf numFmtId="174" fontId="5" fillId="0" borderId="4" xfId="2" applyNumberFormat="1" applyFont="1" applyBorder="1" applyAlignment="1">
      <alignment horizontal="center" vertical="center" wrapText="1"/>
    </xf>
    <xf numFmtId="174" fontId="5" fillId="0" borderId="5" xfId="2" applyNumberFormat="1" applyFont="1" applyBorder="1" applyAlignment="1">
      <alignment horizontal="center" vertical="center" wrapText="1"/>
    </xf>
    <xf numFmtId="0" fontId="14" fillId="4" borderId="0" xfId="0" applyFont="1" applyFill="1" applyAlignment="1">
      <alignment horizontal="left" vertical="center" wrapText="1"/>
    </xf>
    <xf numFmtId="0" fontId="0" fillId="0" borderId="0" xfId="0"/>
    <xf numFmtId="0" fontId="15" fillId="4" borderId="0" xfId="0" applyFont="1" applyFill="1" applyAlignment="1">
      <alignment horizontal="left" vertical="center" wrapText="1"/>
    </xf>
    <xf numFmtId="0" fontId="16" fillId="4" borderId="0" xfId="0" applyFont="1" applyFill="1" applyAlignment="1">
      <alignment horizontal="left" vertical="center" wrapText="1"/>
    </xf>
    <xf numFmtId="0" fontId="0" fillId="5" borderId="0" xfId="0" applyFill="1"/>
    <xf numFmtId="0" fontId="17" fillId="6" borderId="0" xfId="0" applyFont="1" applyFill="1" applyAlignment="1">
      <alignment horizontal="left" vertical="center" wrapText="1"/>
    </xf>
    <xf numFmtId="0" fontId="18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 wrapText="1"/>
    </xf>
    <xf numFmtId="0" fontId="20" fillId="7" borderId="6" xfId="0" applyFont="1" applyFill="1" applyBorder="1" applyAlignment="1">
      <alignment horizontal="center" vertical="center" wrapText="1"/>
    </xf>
    <xf numFmtId="3" fontId="21" fillId="7" borderId="7" xfId="0" applyNumberFormat="1" applyFont="1" applyFill="1" applyBorder="1" applyAlignment="1">
      <alignment horizontal="center" vertical="center" wrapText="1"/>
    </xf>
    <xf numFmtId="0" fontId="22" fillId="7" borderId="8" xfId="0" applyFont="1" applyFill="1" applyBorder="1" applyAlignment="1">
      <alignment horizontal="center" vertical="center" wrapText="1"/>
    </xf>
    <xf numFmtId="9" fontId="21" fillId="7" borderId="7" xfId="0" applyNumberFormat="1" applyFont="1" applyFill="1" applyBorder="1" applyAlignment="1">
      <alignment horizontal="center" vertical="center" wrapText="1"/>
    </xf>
    <xf numFmtId="0" fontId="23" fillId="7" borderId="9" xfId="0" applyFont="1" applyFill="1" applyBorder="1" applyAlignment="1">
      <alignment horizontal="center" vertical="center"/>
    </xf>
    <xf numFmtId="0" fontId="23" fillId="7" borderId="10" xfId="0" applyFont="1" applyFill="1" applyBorder="1" applyAlignment="1">
      <alignment horizontal="center" vertical="center"/>
    </xf>
    <xf numFmtId="0" fontId="23" fillId="7" borderId="11" xfId="0" applyFont="1" applyFill="1" applyBorder="1" applyAlignment="1">
      <alignment horizontal="center" vertical="center"/>
    </xf>
    <xf numFmtId="0" fontId="23" fillId="0" borderId="0" xfId="0" applyFont="1" applyAlignment="1">
      <alignment horizontal="left" vertical="center" wrapText="1"/>
    </xf>
    <xf numFmtId="3" fontId="19" fillId="0" borderId="0" xfId="0" applyNumberFormat="1" applyFont="1" applyAlignment="1">
      <alignment horizontal="right" vertical="center"/>
    </xf>
    <xf numFmtId="0" fontId="19" fillId="0" borderId="0" xfId="0" applyFont="1" applyAlignment="1">
      <alignment horizontal="left" vertical="center" wrapText="1"/>
    </xf>
    <xf numFmtId="0" fontId="19" fillId="0" borderId="12" xfId="0" applyFont="1" applyBorder="1" applyAlignment="1">
      <alignment horizontal="left" vertical="center" wrapText="1"/>
    </xf>
    <xf numFmtId="3" fontId="19" fillId="0" borderId="13" xfId="0" applyNumberFormat="1" applyFont="1" applyBorder="1" applyAlignment="1">
      <alignment horizontal="right" vertical="center"/>
    </xf>
    <xf numFmtId="0" fontId="24" fillId="0" borderId="0" xfId="0" applyFont="1" applyAlignment="1">
      <alignment horizontal="left" vertical="top" wrapText="1"/>
    </xf>
    <xf numFmtId="0" fontId="25" fillId="0" borderId="0" xfId="0" applyFont="1" applyAlignment="1">
      <alignment horizontal="left" vertical="top" wrapText="1"/>
    </xf>
    <xf numFmtId="0" fontId="26" fillId="4" borderId="0" xfId="0" applyFont="1" applyFill="1" applyAlignment="1">
      <alignment horizontal="left" vertical="center" wrapText="1"/>
    </xf>
    <xf numFmtId="0" fontId="19" fillId="0" borderId="0" xfId="0" applyFont="1" applyAlignment="1">
      <alignment horizontal="left" vertical="top" wrapText="1"/>
    </xf>
    <xf numFmtId="0" fontId="19" fillId="0" borderId="0" xfId="0" applyFont="1" applyAlignment="1">
      <alignment horizontal="left" vertical="top"/>
    </xf>
    <xf numFmtId="0" fontId="27" fillId="8" borderId="0" xfId="0" applyFont="1" applyFill="1" applyAlignment="1">
      <alignment horizontal="center" vertical="top" wrapText="1"/>
    </xf>
    <xf numFmtId="0" fontId="0" fillId="8" borderId="0" xfId="0" applyFill="1"/>
    <xf numFmtId="0" fontId="17" fillId="6" borderId="0" xfId="0" applyFont="1" applyFill="1" applyAlignment="1">
      <alignment horizontal="center" vertical="center" wrapText="1"/>
    </xf>
    <xf numFmtId="0" fontId="0" fillId="0" borderId="0" xfId="0" applyAlignment="1">
      <alignment horizontal="center"/>
    </xf>
  </cellXfs>
  <cellStyles count="4">
    <cellStyle name="Comma" xfId="1" builtinId="3"/>
    <cellStyle name="Normal" xfId="0" builtinId="0"/>
    <cellStyle name="Normal 2" xfId="3" xr:uid="{BBF209CC-6827-437A-B458-CC47DED0843D}"/>
    <cellStyle name="Percent" xfId="2" builtinId="5"/>
  </cellStyles>
  <dxfs count="0"/>
  <tableStyles count="0" defaultTableStyle="TableStyleMedium2" defaultPivotStyle="PivotStyleLight16"/>
  <colors>
    <mruColors>
      <color rgb="FF00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349043</xdr:colOff>
      <xdr:row>30</xdr:row>
      <xdr:rowOff>119626</xdr:rowOff>
    </xdr:from>
    <xdr:to>
      <xdr:col>20</xdr:col>
      <xdr:colOff>417870</xdr:colOff>
      <xdr:row>36</xdr:row>
      <xdr:rowOff>114711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64206F89-7777-43D4-81CF-F89C8073593D}"/>
            </a:ext>
          </a:extLst>
        </xdr:cNvPr>
        <xdr:cNvSpPr txBox="1"/>
      </xdr:nvSpPr>
      <xdr:spPr>
        <a:xfrm>
          <a:off x="10410720" y="6756400"/>
          <a:ext cx="7951021" cy="132244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0" u="none" strike="noStrike">
              <a:solidFill>
                <a:schemeClr val="dk1"/>
              </a:solidFill>
              <a:effectLst/>
              <a:latin typeface="Questrial" pitchFamily="2" charset="0"/>
              <a:ea typeface="+mn-ea"/>
              <a:cs typeface="+mn-cs"/>
            </a:rPr>
            <a:t>Points to Note: </a:t>
          </a:r>
        </a:p>
        <a:p>
          <a:endParaRPr lang="en-IN" sz="1200" b="0" i="1" u="none" strike="noStrike">
            <a:solidFill>
              <a:schemeClr val="dk1"/>
            </a:solidFill>
            <a:effectLst/>
            <a:latin typeface="Questrial" pitchFamily="2" charset="0"/>
            <a:ea typeface="+mn-ea"/>
            <a:cs typeface="+mn-cs"/>
          </a:endParaRPr>
        </a:p>
        <a:p>
          <a:r>
            <a:rPr lang="en-IN" sz="1200" b="0" i="1" u="none" strike="noStrike">
              <a:solidFill>
                <a:schemeClr val="dk1"/>
              </a:solidFill>
              <a:effectLst/>
              <a:latin typeface="Questrial" pitchFamily="2" charset="0"/>
              <a:ea typeface="+mn-ea"/>
              <a:cs typeface="+mn-cs"/>
            </a:rPr>
            <a:t>Phased path de-risks the spend: prove A100 &amp; R100 blocks on shared MPW, then a full-die</a:t>
          </a:r>
          <a:r>
            <a:rPr lang="en-IN" sz="1200" i="1">
              <a:effectLst/>
              <a:latin typeface="Questrial" pitchFamily="2" charset="0"/>
            </a:rPr>
            <a:t> </a:t>
          </a:r>
          <a:r>
            <a:rPr lang="en-IN" sz="1200" b="0" i="1" u="none" strike="noStrike">
              <a:solidFill>
                <a:schemeClr val="dk1"/>
              </a:solidFill>
              <a:effectLst/>
              <a:latin typeface="Questrial" pitchFamily="2" charset="0"/>
              <a:ea typeface="+mn-ea"/>
              <a:cs typeface="+mn-cs"/>
            </a:rPr>
            <a:t>prototype, and commit to the dedicated mask only once silicon works. Post-breakeven, every chip is near-pure margin.</a:t>
          </a:r>
          <a:r>
            <a:rPr lang="en-IN" sz="1200" i="1">
              <a:effectLst/>
              <a:latin typeface="Questrial" pitchFamily="2" charset="0"/>
            </a:rPr>
            <a:t> </a:t>
          </a:r>
        </a:p>
        <a:p>
          <a:endParaRPr lang="en-IN" sz="1200" b="0" i="1" u="none" strike="noStrike">
            <a:solidFill>
              <a:schemeClr val="dk1"/>
            </a:solidFill>
            <a:effectLst/>
            <a:latin typeface="Questrial" pitchFamily="2" charset="0"/>
            <a:ea typeface="+mn-ea"/>
            <a:cs typeface="+mn-cs"/>
          </a:endParaRPr>
        </a:p>
        <a:p>
          <a:r>
            <a:rPr lang="en-IN" sz="1200" b="0" i="1" u="none" strike="noStrike">
              <a:solidFill>
                <a:schemeClr val="dk1"/>
              </a:solidFill>
              <a:effectLst/>
              <a:latin typeface="Questrial" pitchFamily="2" charset="0"/>
              <a:ea typeface="+mn-ea"/>
              <a:cs typeface="+mn-cs"/>
            </a:rPr>
            <a:t>Production is demand-driven (~217k dies through FY32); the dedicated mask is built for a ~500k-die</a:t>
          </a:r>
          <a:r>
            <a:rPr lang="en-IN" sz="1200" i="1">
              <a:effectLst/>
              <a:latin typeface="Questrial" pitchFamily="2" charset="0"/>
            </a:rPr>
            <a:t> </a:t>
          </a:r>
          <a:r>
            <a:rPr lang="en-IN" sz="1200" b="0" i="1" u="none" strike="noStrike">
              <a:solidFill>
                <a:schemeClr val="dk1"/>
              </a:solidFill>
              <a:effectLst/>
              <a:latin typeface="Questrial" pitchFamily="2" charset="0"/>
              <a:ea typeface="+mn-ea"/>
              <a:cs typeface="+mn-cs"/>
            </a:rPr>
            <a:t>lifetime target, and that volume commitment is what earns the ~$2,400/wafer price used above.</a:t>
          </a:r>
          <a:r>
            <a:rPr lang="en-IN" sz="1200" i="1">
              <a:effectLst/>
              <a:latin typeface="Questrial" pitchFamily="2" charset="0"/>
            </a:rPr>
            <a:t> </a:t>
          </a:r>
          <a:endParaRPr lang="en-IN" sz="1200" i="1">
            <a:latin typeface="Questrial" pitchFamily="2" charset="0"/>
          </a:endParaRPr>
        </a:p>
      </xdr:txBody>
    </xdr:sp>
    <xdr:clientData/>
  </xdr:twoCellAnchor>
  <xdr:twoCellAnchor>
    <xdr:from>
      <xdr:col>7</xdr:col>
      <xdr:colOff>353959</xdr:colOff>
      <xdr:row>37</xdr:row>
      <xdr:rowOff>34412</xdr:rowOff>
    </xdr:from>
    <xdr:to>
      <xdr:col>20</xdr:col>
      <xdr:colOff>422786</xdr:colOff>
      <xdr:row>40</xdr:row>
      <xdr:rowOff>213032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EB2D8D67-D6F5-484C-B48C-BD596D05E19B}"/>
            </a:ext>
          </a:extLst>
        </xdr:cNvPr>
        <xdr:cNvSpPr txBox="1"/>
      </xdr:nvSpPr>
      <xdr:spPr>
        <a:xfrm>
          <a:off x="10415636" y="8219767"/>
          <a:ext cx="7951021" cy="842297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IN" sz="1200" b="1" i="0" u="none" strike="noStrike">
              <a:solidFill>
                <a:schemeClr val="dk1"/>
              </a:solidFill>
              <a:effectLst/>
              <a:latin typeface="Questrial" pitchFamily="2" charset="0"/>
              <a:ea typeface="+mn-ea"/>
              <a:cs typeface="+mn-cs"/>
            </a:rPr>
            <a:t>Points to Note: </a:t>
          </a:r>
        </a:p>
        <a:p>
          <a:endParaRPr lang="en-IN" sz="1200" b="0" i="1" u="none" strike="noStrike">
            <a:solidFill>
              <a:schemeClr val="dk1"/>
            </a:solidFill>
            <a:effectLst/>
            <a:latin typeface="Questrial" pitchFamily="2" charset="0"/>
            <a:ea typeface="+mn-ea"/>
            <a:cs typeface="+mn-cs"/>
          </a:endParaRPr>
        </a:p>
        <a:p>
          <a:r>
            <a:rPr lang="en-IN" sz="1200" b="0" i="1" u="none" strike="noStrike">
              <a:solidFill>
                <a:schemeClr val="dk1"/>
              </a:solidFill>
              <a:effectLst/>
              <a:latin typeface="Questrial" pitchFamily="2" charset="0"/>
              <a:ea typeface="+mn-ea"/>
              <a:cs typeface="+mn-cs"/>
            </a:rPr>
            <a:t>If SoC4 5nm slips 12 months, FY32 Silicon &amp; Compute revenue falls ~30% (~Rs58 Cr). Core road-ADAS business on SoC2 is unaffected.</a:t>
          </a:r>
          <a:r>
            <a:rPr lang="en-IN" sz="1200">
              <a:effectLst/>
              <a:latin typeface="Questrial" pitchFamily="2" charset="0"/>
            </a:rPr>
            <a:t> </a:t>
          </a:r>
          <a:endParaRPr lang="en-IN" sz="1200" i="1">
            <a:latin typeface="Questrial" pitchFamily="2" charset="0"/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DB9C33-2152-4DC5-B750-B5803C009004}">
  <dimension ref="B2:H35"/>
  <sheetViews>
    <sheetView showGridLines="0" tabSelected="1" workbookViewId="0"/>
  </sheetViews>
  <sheetFormatPr defaultRowHeight="14.4" x14ac:dyDescent="0.3"/>
  <cols>
    <col min="1" max="1" width="2.44140625" customWidth="1"/>
    <col min="2" max="2" width="19" customWidth="1"/>
    <col min="3" max="8" width="15.44140625" customWidth="1"/>
  </cols>
  <sheetData>
    <row r="2" spans="2:8" ht="36" customHeight="1" x14ac:dyDescent="0.3">
      <c r="B2" s="101" t="s">
        <v>355</v>
      </c>
      <c r="C2" s="102"/>
      <c r="D2" s="102"/>
      <c r="E2" s="102"/>
      <c r="F2" s="102"/>
      <c r="G2" s="102"/>
      <c r="H2" s="102"/>
    </row>
    <row r="3" spans="2:8" ht="24" customHeight="1" x14ac:dyDescent="0.3">
      <c r="B3" s="103" t="s">
        <v>356</v>
      </c>
      <c r="C3" s="102"/>
      <c r="D3" s="102"/>
      <c r="E3" s="102"/>
      <c r="F3" s="102"/>
      <c r="G3" s="102"/>
      <c r="H3" s="102"/>
    </row>
    <row r="4" spans="2:8" ht="19.95" customHeight="1" x14ac:dyDescent="0.3">
      <c r="B4" s="104" t="s">
        <v>357</v>
      </c>
      <c r="C4" s="102"/>
      <c r="D4" s="102"/>
      <c r="E4" s="102"/>
      <c r="F4" s="102"/>
      <c r="G4" s="102"/>
      <c r="H4" s="102"/>
    </row>
    <row r="5" spans="2:8" ht="4.05" customHeight="1" x14ac:dyDescent="0.3">
      <c r="B5" s="105"/>
      <c r="C5" s="102"/>
      <c r="D5" s="102"/>
      <c r="E5" s="102"/>
      <c r="F5" s="102"/>
      <c r="G5" s="102"/>
      <c r="H5" s="102"/>
    </row>
    <row r="7" spans="2:8" ht="6" customHeight="1" x14ac:dyDescent="0.3"/>
    <row r="8" spans="2:8" x14ac:dyDescent="0.3">
      <c r="B8" s="106" t="s">
        <v>358</v>
      </c>
      <c r="C8" s="102"/>
      <c r="D8" s="102"/>
      <c r="F8" s="128" t="s">
        <v>359</v>
      </c>
      <c r="G8" s="129"/>
    </row>
    <row r="9" spans="2:8" x14ac:dyDescent="0.3">
      <c r="B9" s="107" t="s">
        <v>360</v>
      </c>
      <c r="C9" s="108" t="s">
        <v>361</v>
      </c>
      <c r="D9" s="102"/>
      <c r="F9" s="109" t="s">
        <v>362</v>
      </c>
      <c r="G9" s="109" t="s">
        <v>188</v>
      </c>
    </row>
    <row r="10" spans="2:8" ht="25.2" x14ac:dyDescent="0.3">
      <c r="B10" s="107" t="s">
        <v>363</v>
      </c>
      <c r="C10" s="108" t="s">
        <v>364</v>
      </c>
      <c r="D10" s="102"/>
      <c r="F10" s="110">
        <f>'P&amp;L'!I6</f>
        <v>1387.95</v>
      </c>
      <c r="G10" s="110">
        <f>'P&amp;L'!I19</f>
        <v>536.62824776546609</v>
      </c>
    </row>
    <row r="11" spans="2:8" x14ac:dyDescent="0.3">
      <c r="B11" s="107" t="s">
        <v>367</v>
      </c>
      <c r="C11" s="124" t="s">
        <v>368</v>
      </c>
      <c r="F11" s="111" t="s">
        <v>365</v>
      </c>
      <c r="G11" s="111" t="s">
        <v>366</v>
      </c>
    </row>
    <row r="12" spans="2:8" ht="19.05" customHeight="1" x14ac:dyDescent="0.3">
      <c r="B12" s="107" t="s">
        <v>369</v>
      </c>
      <c r="C12" s="125" t="s">
        <v>370</v>
      </c>
    </row>
    <row r="13" spans="2:8" ht="14.4" customHeight="1" x14ac:dyDescent="0.3">
      <c r="B13" s="107" t="s">
        <v>205</v>
      </c>
      <c r="C13" s="108" t="s">
        <v>373</v>
      </c>
      <c r="D13" s="102"/>
      <c r="F13" s="109" t="s">
        <v>371</v>
      </c>
      <c r="G13" s="109" t="s">
        <v>372</v>
      </c>
    </row>
    <row r="14" spans="2:8" ht="25.2" x14ac:dyDescent="0.3">
      <c r="F14" s="110">
        <f>'P&amp;L'!I31</f>
        <v>381.37068582409955</v>
      </c>
      <c r="G14" s="112">
        <f>'P&amp;L'!P8</f>
        <v>0.88364890666090279</v>
      </c>
    </row>
    <row r="15" spans="2:8" x14ac:dyDescent="0.3">
      <c r="F15" s="111" t="s">
        <v>365</v>
      </c>
      <c r="G15" s="111" t="s">
        <v>374</v>
      </c>
    </row>
    <row r="17" spans="2:8" x14ac:dyDescent="0.3">
      <c r="B17" s="128" t="s">
        <v>375</v>
      </c>
      <c r="C17" s="129"/>
      <c r="D17" s="129"/>
      <c r="E17" s="129"/>
      <c r="F17" s="129"/>
      <c r="G17" s="129"/>
      <c r="H17" s="129"/>
    </row>
    <row r="18" spans="2:8" x14ac:dyDescent="0.3">
      <c r="B18" s="113"/>
      <c r="C18" s="114" t="s">
        <v>2</v>
      </c>
      <c r="D18" s="114" t="s">
        <v>3</v>
      </c>
      <c r="E18" s="114" t="s">
        <v>4</v>
      </c>
      <c r="F18" s="114" t="s">
        <v>5</v>
      </c>
      <c r="G18" s="114" t="s">
        <v>6</v>
      </c>
      <c r="H18" s="115" t="s">
        <v>7</v>
      </c>
    </row>
    <row r="19" spans="2:8" ht="16.95" customHeight="1" x14ac:dyDescent="0.3">
      <c r="B19" s="116" t="s">
        <v>19</v>
      </c>
      <c r="C19" s="117">
        <f>'P&amp;L'!D6</f>
        <v>5.9950000000000001</v>
      </c>
      <c r="D19" s="117">
        <f>'P&amp;L'!E6</f>
        <v>41.165999999999997</v>
      </c>
      <c r="E19" s="117">
        <f>'P&amp;L'!F6</f>
        <v>144.72749999999999</v>
      </c>
      <c r="F19" s="117">
        <f>'P&amp;L'!G6</f>
        <v>351.35499999999996</v>
      </c>
      <c r="G19" s="117">
        <f>'P&amp;L'!H6</f>
        <v>731.54499999999996</v>
      </c>
      <c r="H19" s="117">
        <f>'P&amp;L'!I6</f>
        <v>1387.95</v>
      </c>
    </row>
    <row r="20" spans="2:8" ht="16.95" customHeight="1" x14ac:dyDescent="0.3">
      <c r="B20" s="118" t="s">
        <v>188</v>
      </c>
      <c r="C20" s="117">
        <f>'P&amp;L'!D19</f>
        <v>-1.799905278419252</v>
      </c>
      <c r="D20" s="117">
        <f>'P&amp;L'!E19</f>
        <v>2.5935517682274778</v>
      </c>
      <c r="E20" s="117">
        <f>'P&amp;L'!F19</f>
        <v>29.732762168999997</v>
      </c>
      <c r="F20" s="117">
        <f>'P&amp;L'!G19</f>
        <v>96.494524313799985</v>
      </c>
      <c r="G20" s="117">
        <f>'P&amp;L'!H19</f>
        <v>240.91366431828794</v>
      </c>
      <c r="H20" s="117">
        <f>'P&amp;L'!I19</f>
        <v>536.62824776546609</v>
      </c>
    </row>
    <row r="21" spans="2:8" x14ac:dyDescent="0.3">
      <c r="B21" s="119" t="s">
        <v>376</v>
      </c>
      <c r="C21" s="120">
        <f>'P&amp;L'!D31</f>
        <v>-2.2948052784192519</v>
      </c>
      <c r="D21" s="120">
        <f>'P&amp;L'!E31</f>
        <v>-0.67468013264383042</v>
      </c>
      <c r="E21" s="120">
        <f>'P&amp;L'!F31</f>
        <v>19.847409126749998</v>
      </c>
      <c r="F21" s="120">
        <f>'P&amp;L'!G31</f>
        <v>66.819318235349982</v>
      </c>
      <c r="G21" s="120">
        <f>'P&amp;L'!H31</f>
        <v>169.43082323871596</v>
      </c>
      <c r="H21" s="120">
        <f>'P&amp;L'!I31</f>
        <v>381.37068582409955</v>
      </c>
    </row>
    <row r="23" spans="2:8" x14ac:dyDescent="0.3">
      <c r="B23" s="106" t="s">
        <v>377</v>
      </c>
      <c r="C23" s="102"/>
      <c r="D23" s="102"/>
      <c r="E23" s="102"/>
      <c r="F23" s="102"/>
      <c r="G23" s="102"/>
      <c r="H23" s="102"/>
    </row>
    <row r="24" spans="2:8" x14ac:dyDescent="0.3">
      <c r="B24" s="126" t="s">
        <v>398</v>
      </c>
      <c r="C24" s="126"/>
      <c r="D24" s="126"/>
      <c r="F24" s="126" t="s">
        <v>399</v>
      </c>
      <c r="G24" s="126"/>
      <c r="H24" s="126"/>
    </row>
    <row r="25" spans="2:8" x14ac:dyDescent="0.3">
      <c r="B25" s="121" t="s">
        <v>378</v>
      </c>
      <c r="C25" s="122" t="s">
        <v>379</v>
      </c>
      <c r="D25" s="102"/>
      <c r="F25" s="121" t="s">
        <v>392</v>
      </c>
      <c r="G25" s="122" t="s">
        <v>393</v>
      </c>
      <c r="H25" s="102"/>
    </row>
    <row r="26" spans="2:8" x14ac:dyDescent="0.3">
      <c r="B26" s="121" t="s">
        <v>384</v>
      </c>
      <c r="C26" s="122" t="s">
        <v>385</v>
      </c>
      <c r="D26" s="102"/>
      <c r="F26" s="121" t="s">
        <v>387</v>
      </c>
      <c r="G26" s="122" t="s">
        <v>388</v>
      </c>
      <c r="H26" s="102"/>
    </row>
    <row r="27" spans="2:8" x14ac:dyDescent="0.3">
      <c r="B27" s="121" t="s">
        <v>196</v>
      </c>
      <c r="C27" s="122" t="s">
        <v>383</v>
      </c>
      <c r="D27" s="102"/>
      <c r="F27" s="121" t="s">
        <v>18</v>
      </c>
      <c r="G27" s="122" t="s">
        <v>382</v>
      </c>
      <c r="H27" s="102"/>
    </row>
    <row r="28" spans="2:8" ht="27.6" x14ac:dyDescent="0.3">
      <c r="B28" s="121" t="s">
        <v>395</v>
      </c>
      <c r="C28" s="122" t="s">
        <v>396</v>
      </c>
      <c r="D28" s="102"/>
      <c r="F28" s="121" t="s">
        <v>380</v>
      </c>
      <c r="G28" s="122" t="s">
        <v>381</v>
      </c>
      <c r="H28" s="102"/>
    </row>
    <row r="29" spans="2:8" ht="16.95" customHeight="1" x14ac:dyDescent="0.3">
      <c r="B29" s="121" t="s">
        <v>389</v>
      </c>
      <c r="C29" s="122" t="s">
        <v>390</v>
      </c>
      <c r="D29" s="102"/>
      <c r="F29" s="121" t="s">
        <v>337</v>
      </c>
      <c r="G29" s="122" t="s">
        <v>391</v>
      </c>
      <c r="H29" s="102"/>
    </row>
    <row r="30" spans="2:8" ht="27.6" x14ac:dyDescent="0.3">
      <c r="B30" s="121" t="s">
        <v>294</v>
      </c>
      <c r="C30" s="122" t="s">
        <v>386</v>
      </c>
      <c r="D30" s="102"/>
      <c r="F30" s="121" t="s">
        <v>219</v>
      </c>
      <c r="G30" s="122" t="s">
        <v>394</v>
      </c>
      <c r="H30" s="102"/>
    </row>
    <row r="32" spans="2:8" ht="6" customHeight="1" x14ac:dyDescent="0.3">
      <c r="B32" s="105"/>
      <c r="C32" s="102"/>
      <c r="D32" s="102"/>
      <c r="E32" s="102"/>
      <c r="F32" s="102"/>
      <c r="G32" s="102"/>
      <c r="H32" s="102"/>
    </row>
    <row r="33" spans="2:8" ht="18" customHeight="1" x14ac:dyDescent="0.3">
      <c r="B33" s="123" t="s">
        <v>397</v>
      </c>
      <c r="C33" s="102"/>
      <c r="D33" s="102"/>
      <c r="E33" s="102"/>
      <c r="F33" s="102"/>
      <c r="G33" s="102"/>
      <c r="H33" s="102"/>
    </row>
    <row r="34" spans="2:8" ht="18" customHeight="1" x14ac:dyDescent="0.3">
      <c r="B34" s="102"/>
      <c r="C34" s="102"/>
      <c r="D34" s="102"/>
      <c r="E34" s="102"/>
      <c r="F34" s="102"/>
      <c r="G34" s="102"/>
      <c r="H34" s="102"/>
    </row>
    <row r="35" spans="2:8" ht="13.95" customHeight="1" x14ac:dyDescent="0.3">
      <c r="B35" s="102"/>
      <c r="C35" s="102"/>
      <c r="D35" s="102"/>
      <c r="E35" s="102"/>
      <c r="F35" s="102"/>
      <c r="G35" s="102"/>
      <c r="H35" s="102"/>
    </row>
  </sheetData>
  <mergeCells count="27">
    <mergeCell ref="G30:H30"/>
    <mergeCell ref="C28:D28"/>
    <mergeCell ref="B32:H32"/>
    <mergeCell ref="B33:H35"/>
    <mergeCell ref="B24:D24"/>
    <mergeCell ref="F24:H24"/>
    <mergeCell ref="C26:D26"/>
    <mergeCell ref="C30:D30"/>
    <mergeCell ref="G26:H26"/>
    <mergeCell ref="C29:D29"/>
    <mergeCell ref="G29:H29"/>
    <mergeCell ref="G25:H25"/>
    <mergeCell ref="B17:H17"/>
    <mergeCell ref="B23:H23"/>
    <mergeCell ref="C25:D25"/>
    <mergeCell ref="G28:H28"/>
    <mergeCell ref="G27:H27"/>
    <mergeCell ref="C27:D27"/>
    <mergeCell ref="C9:D9"/>
    <mergeCell ref="C10:D10"/>
    <mergeCell ref="C13:D13"/>
    <mergeCell ref="B2:H2"/>
    <mergeCell ref="B3:H3"/>
    <mergeCell ref="B4:H4"/>
    <mergeCell ref="B5:H5"/>
    <mergeCell ref="B8:D8"/>
    <mergeCell ref="F8:G8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603E72-3328-4034-92E5-6CA23A4D5F79}">
  <sheetPr>
    <tabColor rgb="FF00B0F0"/>
  </sheetPr>
  <dimension ref="A1"/>
  <sheetViews>
    <sheetView showGridLines="0" workbookViewId="0">
      <selection activeCell="A2" sqref="A2"/>
    </sheetView>
  </sheetViews>
  <sheetFormatPr defaultRowHeight="14.4" x14ac:dyDescent="0.3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E3910-30E1-43FF-951A-97DE6D86D803}">
  <dimension ref="B2:R55"/>
  <sheetViews>
    <sheetView showGridLines="0" zoomScaleNormal="100" workbookViewId="0"/>
  </sheetViews>
  <sheetFormatPr defaultRowHeight="14.4" x14ac:dyDescent="0.5"/>
  <cols>
    <col min="1" max="1" width="3.33203125" style="2" customWidth="1"/>
    <col min="2" max="2" width="32.44140625" style="2" bestFit="1" customWidth="1"/>
    <col min="3" max="3" width="1.5546875" style="2" bestFit="1" customWidth="1"/>
    <col min="4" max="4" width="9" style="16" bestFit="1" customWidth="1"/>
    <col min="5" max="9" width="8.21875" style="16" bestFit="1" customWidth="1"/>
    <col min="10" max="10" width="2" style="2" bestFit="1" customWidth="1"/>
    <col min="11" max="16" width="8.88671875" style="22"/>
    <col min="17" max="17" width="2" style="2" bestFit="1" customWidth="1"/>
    <col min="18" max="18" width="251" style="2" bestFit="1" customWidth="1"/>
    <col min="19" max="16384" width="8.88671875" style="2"/>
  </cols>
  <sheetData>
    <row r="2" spans="2:18" ht="17.399999999999999" x14ac:dyDescent="0.5">
      <c r="B2" s="1" t="s">
        <v>17</v>
      </c>
    </row>
    <row r="3" spans="2:18" ht="17.399999999999999" x14ac:dyDescent="0.5">
      <c r="B3" s="2" t="s">
        <v>176</v>
      </c>
    </row>
    <row r="5" spans="2:18" ht="17.399999999999999" x14ac:dyDescent="0.5">
      <c r="B5" s="7" t="s">
        <v>51</v>
      </c>
      <c r="C5" s="4" t="s">
        <v>25</v>
      </c>
      <c r="D5" s="20" t="s">
        <v>2</v>
      </c>
      <c r="E5" s="20" t="s">
        <v>3</v>
      </c>
      <c r="F5" s="20" t="s">
        <v>4</v>
      </c>
      <c r="G5" s="20" t="s">
        <v>5</v>
      </c>
      <c r="H5" s="20" t="s">
        <v>6</v>
      </c>
      <c r="I5" s="20" t="s">
        <v>7</v>
      </c>
      <c r="J5" s="2" t="s">
        <v>25</v>
      </c>
      <c r="K5" s="20" t="s">
        <v>2</v>
      </c>
      <c r="L5" s="20" t="s">
        <v>3</v>
      </c>
      <c r="M5" s="20" t="s">
        <v>4</v>
      </c>
      <c r="N5" s="20" t="s">
        <v>5</v>
      </c>
      <c r="O5" s="20" t="s">
        <v>6</v>
      </c>
      <c r="P5" s="20" t="s">
        <v>7</v>
      </c>
      <c r="Q5" s="2" t="s">
        <v>25</v>
      </c>
      <c r="R5" s="7" t="s">
        <v>178</v>
      </c>
    </row>
    <row r="6" spans="2:18" ht="17.399999999999999" x14ac:dyDescent="0.5">
      <c r="B6" s="14" t="s">
        <v>19</v>
      </c>
      <c r="C6" s="4"/>
      <c r="D6" s="62">
        <f>'Revenue Master'!I34</f>
        <v>5.9950000000000001</v>
      </c>
      <c r="E6" s="62">
        <f>'Revenue Master'!J34</f>
        <v>41.165999999999997</v>
      </c>
      <c r="F6" s="62">
        <f>'Revenue Master'!K34</f>
        <v>144.72749999999999</v>
      </c>
      <c r="G6" s="62">
        <f>'Revenue Master'!L34</f>
        <v>351.35499999999996</v>
      </c>
      <c r="H6" s="62">
        <f>'Revenue Master'!M34</f>
        <v>731.54499999999996</v>
      </c>
      <c r="I6" s="62">
        <f>'Revenue Master'!N34</f>
        <v>1387.95</v>
      </c>
      <c r="K6" s="25">
        <f>D6/D6</f>
        <v>1</v>
      </c>
      <c r="L6" s="25">
        <f t="shared" ref="L6:P6" si="0">E6/E6</f>
        <v>1</v>
      </c>
      <c r="M6" s="25">
        <f t="shared" si="0"/>
        <v>1</v>
      </c>
      <c r="N6" s="25">
        <f t="shared" si="0"/>
        <v>1</v>
      </c>
      <c r="O6" s="25">
        <f t="shared" si="0"/>
        <v>1</v>
      </c>
      <c r="P6" s="25">
        <f t="shared" si="0"/>
        <v>1</v>
      </c>
      <c r="R6" s="10" t="s">
        <v>339</v>
      </c>
    </row>
    <row r="7" spans="2:18" ht="17.399999999999999" x14ac:dyDescent="0.5">
      <c r="B7" s="63" t="s">
        <v>179</v>
      </c>
      <c r="C7" s="4"/>
      <c r="D7" s="15">
        <f>Assumptions!D21</f>
        <v>2.7914999999999992</v>
      </c>
      <c r="E7" s="15">
        <f>Assumptions!E21</f>
        <v>10.80288</v>
      </c>
      <c r="F7" s="15">
        <f>Assumptions!F21</f>
        <v>30.110999999999997</v>
      </c>
      <c r="G7" s="15">
        <f>Assumptions!G21</f>
        <v>62.010350000000003</v>
      </c>
      <c r="H7" s="15">
        <f>Assumptions!H21</f>
        <v>106.92630000000003</v>
      </c>
      <c r="I7" s="15">
        <f>Assumptions!I21</f>
        <v>161.48949999999999</v>
      </c>
      <c r="K7" s="25">
        <f>D7/D6</f>
        <v>0.46563803169307744</v>
      </c>
      <c r="L7" s="25">
        <f t="shared" ref="L7:P7" si="1">E7/E6</f>
        <v>0.26242238740708351</v>
      </c>
      <c r="M7" s="25">
        <f t="shared" si="1"/>
        <v>0.20805306524330205</v>
      </c>
      <c r="N7" s="25">
        <f t="shared" si="1"/>
        <v>0.1764891633817649</v>
      </c>
      <c r="O7" s="25">
        <f t="shared" si="1"/>
        <v>0.14616503427677044</v>
      </c>
      <c r="P7" s="25">
        <f t="shared" si="1"/>
        <v>0.11635109333909723</v>
      </c>
      <c r="R7" s="10" t="s">
        <v>340</v>
      </c>
    </row>
    <row r="8" spans="2:18" ht="17.399999999999999" x14ac:dyDescent="0.5">
      <c r="B8" s="14" t="s">
        <v>180</v>
      </c>
      <c r="C8" s="4"/>
      <c r="D8" s="62">
        <f>D6-D7</f>
        <v>3.2035000000000009</v>
      </c>
      <c r="E8" s="62">
        <f t="shared" ref="E8:I8" si="2">E6-E7</f>
        <v>30.363119999999995</v>
      </c>
      <c r="F8" s="62">
        <f t="shared" si="2"/>
        <v>114.6165</v>
      </c>
      <c r="G8" s="62">
        <f t="shared" si="2"/>
        <v>289.34464999999994</v>
      </c>
      <c r="H8" s="62">
        <f t="shared" si="2"/>
        <v>624.61869999999999</v>
      </c>
      <c r="I8" s="62">
        <f t="shared" si="2"/>
        <v>1226.4605000000001</v>
      </c>
      <c r="K8" s="64">
        <f>D8/D6</f>
        <v>0.53436196830692262</v>
      </c>
      <c r="L8" s="64">
        <f t="shared" ref="L8:P8" si="3">E8/E6</f>
        <v>0.73757761259291643</v>
      </c>
      <c r="M8" s="64">
        <f t="shared" si="3"/>
        <v>0.79194693475669797</v>
      </c>
      <c r="N8" s="64">
        <f t="shared" si="3"/>
        <v>0.8235108366182351</v>
      </c>
      <c r="O8" s="64">
        <f t="shared" si="3"/>
        <v>0.85383496572322959</v>
      </c>
      <c r="P8" s="64">
        <f t="shared" si="3"/>
        <v>0.88364890666090279</v>
      </c>
      <c r="R8" s="10" t="s">
        <v>341</v>
      </c>
    </row>
    <row r="9" spans="2:18" ht="17.399999999999999" x14ac:dyDescent="0.5"/>
    <row r="10" spans="2:18" ht="17.399999999999999" x14ac:dyDescent="0.5">
      <c r="B10" s="14" t="s">
        <v>45</v>
      </c>
      <c r="C10" s="4"/>
      <c r="D10" s="15"/>
      <c r="E10" s="15"/>
      <c r="F10" s="15"/>
      <c r="G10" s="15"/>
      <c r="H10" s="15"/>
      <c r="I10" s="15"/>
      <c r="K10" s="25"/>
      <c r="L10" s="25"/>
      <c r="M10" s="25"/>
      <c r="N10" s="25"/>
      <c r="O10" s="25"/>
      <c r="P10" s="25"/>
      <c r="R10" s="10"/>
    </row>
    <row r="11" spans="2:18" ht="17.399999999999999" x14ac:dyDescent="0.5">
      <c r="B11" s="94" t="s">
        <v>337</v>
      </c>
      <c r="C11" s="4"/>
      <c r="D11" s="15">
        <f>Payroll!Y18</f>
        <v>2.113650132000001</v>
      </c>
      <c r="E11" s="15">
        <f>Payroll!Z18</f>
        <v>5.0889347520000019</v>
      </c>
      <c r="F11" s="15">
        <f>Payroll!AA18</f>
        <v>8.9993914560000015</v>
      </c>
      <c r="G11" s="15">
        <f>Payroll!AB18</f>
        <v>13.132072186200004</v>
      </c>
      <c r="H11" s="15">
        <f>Payroll!AC18</f>
        <v>22.449561131712013</v>
      </c>
      <c r="I11" s="15">
        <f>Payroll!AD18</f>
        <v>42.588138654534013</v>
      </c>
      <c r="K11" s="25">
        <f>D11/D$6</f>
        <v>0.35256882935779832</v>
      </c>
      <c r="L11" s="25">
        <f t="shared" ref="L11:P11" si="4">E11/E$6</f>
        <v>0.12361985016761411</v>
      </c>
      <c r="M11" s="25">
        <f t="shared" si="4"/>
        <v>6.2181627237394427E-2</v>
      </c>
      <c r="N11" s="25">
        <f t="shared" si="4"/>
        <v>3.7375509630430778E-2</v>
      </c>
      <c r="O11" s="25">
        <f t="shared" si="4"/>
        <v>3.068787447349379E-2</v>
      </c>
      <c r="P11" s="25">
        <f t="shared" si="4"/>
        <v>3.0684202352054477E-2</v>
      </c>
      <c r="R11" s="10" t="s">
        <v>342</v>
      </c>
    </row>
    <row r="12" spans="2:18" ht="17.399999999999999" x14ac:dyDescent="0.5">
      <c r="B12" s="14" t="s">
        <v>181</v>
      </c>
      <c r="C12" s="4"/>
      <c r="D12" s="15">
        <f>SUM(D13:D14)</f>
        <v>1.7302551464192519</v>
      </c>
      <c r="E12" s="15">
        <f>SUM(E13:E14)</f>
        <v>12.916953479772518</v>
      </c>
      <c r="F12" s="15">
        <f>SUM(F13:F14)</f>
        <v>42.788685375</v>
      </c>
      <c r="G12" s="15">
        <f>SUM(G13:G14)</f>
        <v>104.52811249999998</v>
      </c>
      <c r="H12" s="15">
        <f>SUM(H13:H14)</f>
        <v>208.30743875000002</v>
      </c>
      <c r="I12" s="15">
        <f>SUM(I13:I14)</f>
        <v>377.86938750000002</v>
      </c>
      <c r="K12" s="25">
        <f>D12/D$6</f>
        <v>0.28861637137935814</v>
      </c>
      <c r="L12" s="25">
        <f t="shared" ref="L12:L14" si="5">E12/E$6</f>
        <v>0.31377723071885827</v>
      </c>
      <c r="M12" s="25">
        <f t="shared" ref="M12:M14" si="6">F12/F$6</f>
        <v>0.29565000000000002</v>
      </c>
      <c r="N12" s="25">
        <f t="shared" ref="N12:N14" si="7">G12/G$6</f>
        <v>0.29749999999999999</v>
      </c>
      <c r="O12" s="25">
        <f t="shared" ref="O12:O14" si="8">H12/H$6</f>
        <v>0.28475000000000006</v>
      </c>
      <c r="P12" s="25">
        <f t="shared" ref="P12:P14" si="9">I12/I$6</f>
        <v>0.27224999999999999</v>
      </c>
      <c r="R12" s="10" t="s">
        <v>343</v>
      </c>
    </row>
    <row r="13" spans="2:18" ht="17.399999999999999" x14ac:dyDescent="0.5">
      <c r="B13" s="10" t="s">
        <v>182</v>
      </c>
      <c r="C13" s="4"/>
      <c r="D13" s="15">
        <f>'Expense Schedules'!D10</f>
        <v>1.330255146419252</v>
      </c>
      <c r="E13" s="15">
        <f>'Expense Schedules'!E10</f>
        <v>6.633992729772519</v>
      </c>
      <c r="F13" s="15">
        <f>'Expense Schedules'!F10</f>
        <v>23.445854999999998</v>
      </c>
      <c r="G13" s="15">
        <f>'Expense Schedules'!G10</f>
        <v>49.189699999999988</v>
      </c>
      <c r="H13" s="15">
        <f>'Expense Schedules'!H10</f>
        <v>87.053855000000013</v>
      </c>
      <c r="I13" s="15">
        <f>'Expense Schedules'!I10</f>
        <v>137.40705000000003</v>
      </c>
      <c r="K13" s="25">
        <f>D13/D$6</f>
        <v>0.22189410282222718</v>
      </c>
      <c r="L13" s="25">
        <f t="shared" si="5"/>
        <v>0.16115223071885826</v>
      </c>
      <c r="M13" s="25">
        <f t="shared" si="6"/>
        <v>0.16200000000000001</v>
      </c>
      <c r="N13" s="25">
        <f t="shared" si="7"/>
        <v>0.13999999999999999</v>
      </c>
      <c r="O13" s="25">
        <f t="shared" si="8"/>
        <v>0.11900000000000002</v>
      </c>
      <c r="P13" s="25">
        <f t="shared" si="9"/>
        <v>9.9000000000000019E-2</v>
      </c>
      <c r="R13" s="10"/>
    </row>
    <row r="14" spans="2:18" ht="17.399999999999999" x14ac:dyDescent="0.5">
      <c r="B14" s="10" t="s">
        <v>183</v>
      </c>
      <c r="C14" s="4"/>
      <c r="D14" s="15">
        <f>'Expense Schedules'!D11</f>
        <v>0.4</v>
      </c>
      <c r="E14" s="15">
        <f>'Expense Schedules'!E11</f>
        <v>6.2829607499999991</v>
      </c>
      <c r="F14" s="15">
        <f>'Expense Schedules'!F11</f>
        <v>19.342830374999998</v>
      </c>
      <c r="G14" s="15">
        <f>'Expense Schedules'!G11</f>
        <v>55.33841249999999</v>
      </c>
      <c r="H14" s="15">
        <f>'Expense Schedules'!H11</f>
        <v>121.25358375</v>
      </c>
      <c r="I14" s="15">
        <f>'Expense Schedules'!I11</f>
        <v>240.46233749999999</v>
      </c>
      <c r="K14" s="25">
        <f>D14/D$6</f>
        <v>6.672226855713094E-2</v>
      </c>
      <c r="L14" s="25">
        <f t="shared" si="5"/>
        <v>0.15262499999999998</v>
      </c>
      <c r="M14" s="25">
        <f t="shared" si="6"/>
        <v>0.13364999999999999</v>
      </c>
      <c r="N14" s="25">
        <f t="shared" si="7"/>
        <v>0.1575</v>
      </c>
      <c r="O14" s="25">
        <f t="shared" si="8"/>
        <v>0.16575000000000001</v>
      </c>
      <c r="P14" s="25">
        <f t="shared" si="9"/>
        <v>0.17324999999999999</v>
      </c>
      <c r="R14" s="10" t="s">
        <v>344</v>
      </c>
    </row>
    <row r="15" spans="2:18" ht="17.399999999999999" x14ac:dyDescent="0.5">
      <c r="B15" s="14" t="s">
        <v>184</v>
      </c>
      <c r="C15" s="4"/>
      <c r="D15" s="15">
        <f>'Expense Schedules'!D34</f>
        <v>0.56000000000000005</v>
      </c>
      <c r="E15" s="15">
        <f>'Expense Schedules'!E34</f>
        <v>5.8529099999999987</v>
      </c>
      <c r="F15" s="15">
        <f>'Expense Schedules'!F34</f>
        <v>20.070186000000003</v>
      </c>
      <c r="G15" s="15">
        <f>'Expense Schedules'!G34</f>
        <v>47.081541000000001</v>
      </c>
      <c r="H15" s="15">
        <f>'Expense Schedules'!H34</f>
        <v>94.424435800000012</v>
      </c>
      <c r="I15" s="15">
        <f>'Expense Schedules'!I34</f>
        <v>172.21822607999997</v>
      </c>
      <c r="K15" s="25">
        <f>D15/D$6</f>
        <v>9.341117597998333E-2</v>
      </c>
      <c r="L15" s="25">
        <f t="shared" ref="L15:L16" si="10">E15/E$6</f>
        <v>0.14217825389884856</v>
      </c>
      <c r="M15" s="25">
        <f t="shared" ref="M15:M16" si="11">F15/F$6</f>
        <v>0.13867569052184281</v>
      </c>
      <c r="N15" s="25">
        <f t="shared" ref="N15:N16" si="12">G15/G$6</f>
        <v>0.13399991746239559</v>
      </c>
      <c r="O15" s="25">
        <f t="shared" ref="O15:O16" si="13">H15/H$6</f>
        <v>0.12907536214450241</v>
      </c>
      <c r="P15" s="25">
        <f>I15/I$6</f>
        <v>0.12408100153463739</v>
      </c>
      <c r="R15" s="10" t="s">
        <v>345</v>
      </c>
    </row>
    <row r="16" spans="2:18" ht="17.399999999999999" x14ac:dyDescent="0.5">
      <c r="B16" s="14" t="s">
        <v>185</v>
      </c>
      <c r="C16" s="4"/>
      <c r="D16" s="15">
        <f>'Expense Schedules'!D24</f>
        <v>0.59949999999999992</v>
      </c>
      <c r="E16" s="15">
        <f>'Expense Schedules'!E24</f>
        <v>3.9107700000000003</v>
      </c>
      <c r="F16" s="15">
        <f>'Expense Schedules'!F24</f>
        <v>13.025474999999997</v>
      </c>
      <c r="G16" s="15">
        <f>'Expense Schedules'!G24</f>
        <v>28.108399999999993</v>
      </c>
      <c r="H16" s="15">
        <f>'Expense Schedules'!H24</f>
        <v>58.523599999999995</v>
      </c>
      <c r="I16" s="15">
        <f>'Expense Schedules'!I24</f>
        <v>97.156499999999994</v>
      </c>
      <c r="K16" s="25">
        <f>D16/D$6</f>
        <v>9.9999999999999992E-2</v>
      </c>
      <c r="L16" s="25">
        <f t="shared" si="10"/>
        <v>9.5000000000000015E-2</v>
      </c>
      <c r="M16" s="25">
        <f t="shared" si="11"/>
        <v>8.9999999999999983E-2</v>
      </c>
      <c r="N16" s="25">
        <f t="shared" si="12"/>
        <v>7.9999999999999988E-2</v>
      </c>
      <c r="O16" s="25">
        <f t="shared" si="13"/>
        <v>0.08</v>
      </c>
      <c r="P16" s="25">
        <f t="shared" ref="P15:P16" si="14">I16/I$6</f>
        <v>6.9999999999999993E-2</v>
      </c>
      <c r="R16" s="10" t="s">
        <v>346</v>
      </c>
    </row>
    <row r="17" spans="2:18" ht="17.399999999999999" x14ac:dyDescent="0.5">
      <c r="B17" s="14" t="s">
        <v>186</v>
      </c>
      <c r="C17" s="4"/>
      <c r="D17" s="62">
        <f>D11+D12+D15+D16</f>
        <v>5.0034052784192529</v>
      </c>
      <c r="E17" s="62">
        <f t="shared" ref="E17:I17" si="15">E11+E12+E15+E16</f>
        <v>27.769568231772517</v>
      </c>
      <c r="F17" s="62">
        <f t="shared" si="15"/>
        <v>84.883737831000005</v>
      </c>
      <c r="G17" s="62">
        <f t="shared" si="15"/>
        <v>192.85012568619996</v>
      </c>
      <c r="H17" s="62">
        <f t="shared" si="15"/>
        <v>383.70503568171205</v>
      </c>
      <c r="I17" s="62">
        <f t="shared" si="15"/>
        <v>689.83225223453405</v>
      </c>
      <c r="K17" s="64">
        <f>D17/D6</f>
        <v>0.83459637671713971</v>
      </c>
      <c r="L17" s="64">
        <f>E17/E6</f>
        <v>0.67457533478532083</v>
      </c>
      <c r="M17" s="64">
        <f>F17/F6</f>
        <v>0.58650731775923726</v>
      </c>
      <c r="N17" s="64">
        <f>G17/G6</f>
        <v>0.54887542709282633</v>
      </c>
      <c r="O17" s="64">
        <f>H17/H6</f>
        <v>0.5245132366179962</v>
      </c>
      <c r="P17" s="64">
        <f>I17/I6</f>
        <v>0.4970152038866919</v>
      </c>
      <c r="R17" s="10"/>
    </row>
    <row r="18" spans="2:18" ht="17.399999999999999" x14ac:dyDescent="0.5"/>
    <row r="19" spans="2:18" ht="17.399999999999999" x14ac:dyDescent="0.5">
      <c r="B19" s="14" t="s">
        <v>188</v>
      </c>
      <c r="C19" s="4"/>
      <c r="D19" s="15">
        <f>D8-D17</f>
        <v>-1.799905278419252</v>
      </c>
      <c r="E19" s="15">
        <f>E8-E17</f>
        <v>2.5935517682274778</v>
      </c>
      <c r="F19" s="15">
        <f>F8-F17</f>
        <v>29.732762168999997</v>
      </c>
      <c r="G19" s="15">
        <f>G8-G17</f>
        <v>96.494524313799985</v>
      </c>
      <c r="H19" s="15">
        <f>H8-H17</f>
        <v>240.91366431828794</v>
      </c>
      <c r="I19" s="15">
        <f>I8-I17</f>
        <v>536.62824776546609</v>
      </c>
      <c r="K19" s="45">
        <f>D19/D6</f>
        <v>-0.30023440841021715</v>
      </c>
      <c r="L19" s="45">
        <f t="shared" ref="L19:P19" si="16">E19/E6</f>
        <v>6.3002277807595541E-2</v>
      </c>
      <c r="M19" s="45">
        <f t="shared" si="16"/>
        <v>0.20543961699746074</v>
      </c>
      <c r="N19" s="45">
        <f t="shared" si="16"/>
        <v>0.27463540952540877</v>
      </c>
      <c r="O19" s="45">
        <f t="shared" si="16"/>
        <v>0.32932172910523339</v>
      </c>
      <c r="P19" s="45">
        <f t="shared" si="16"/>
        <v>0.38663370277421094</v>
      </c>
      <c r="R19" s="10" t="s">
        <v>347</v>
      </c>
    </row>
    <row r="20" spans="2:18" ht="17.399999999999999" x14ac:dyDescent="0.5"/>
    <row r="21" spans="2:18" ht="17.399999999999999" x14ac:dyDescent="0.5">
      <c r="B21" s="10" t="s">
        <v>189</v>
      </c>
      <c r="C21" s="4"/>
      <c r="D21" s="15">
        <v>0.11990000000000001</v>
      </c>
      <c r="E21" s="15">
        <v>0.82331999999999994</v>
      </c>
      <c r="F21" s="15">
        <v>2.8945499999999997</v>
      </c>
      <c r="G21" s="15">
        <v>7.027099999999999</v>
      </c>
      <c r="H21" s="15">
        <v>14.630899999999999</v>
      </c>
      <c r="I21" s="15">
        <v>27.759</v>
      </c>
      <c r="K21" s="25">
        <f>D21/D6</f>
        <v>0.02</v>
      </c>
      <c r="L21" s="25">
        <f t="shared" ref="L21:P21" si="17">E21/E6</f>
        <v>0.02</v>
      </c>
      <c r="M21" s="25">
        <f t="shared" si="17"/>
        <v>0.02</v>
      </c>
      <c r="N21" s="25">
        <f t="shared" si="17"/>
        <v>0.02</v>
      </c>
      <c r="O21" s="25">
        <f t="shared" si="17"/>
        <v>0.02</v>
      </c>
      <c r="P21" s="25">
        <f t="shared" si="17"/>
        <v>0.02</v>
      </c>
      <c r="R21" s="10" t="s">
        <v>348</v>
      </c>
    </row>
    <row r="22" spans="2:18" ht="17.399999999999999" x14ac:dyDescent="0.5">
      <c r="B22" s="14" t="s">
        <v>190</v>
      </c>
      <c r="C22" s="4"/>
      <c r="D22" s="62">
        <f>D19-D21</f>
        <v>-1.9198052784192519</v>
      </c>
      <c r="E22" s="62">
        <f>E19-E21</f>
        <v>1.770231768227478</v>
      </c>
      <c r="F22" s="62">
        <f>F19-F21</f>
        <v>26.838212168999998</v>
      </c>
      <c r="G22" s="62">
        <f>G19-G21</f>
        <v>89.467424313799981</v>
      </c>
      <c r="H22" s="62">
        <f>H19-H21</f>
        <v>226.28276431828795</v>
      </c>
      <c r="I22" s="62">
        <f>I19-I21</f>
        <v>508.86924776546607</v>
      </c>
      <c r="K22" s="64">
        <f>D22/D6</f>
        <v>-0.32023440841021716</v>
      </c>
      <c r="L22" s="64">
        <f>E22/E6</f>
        <v>4.3002277807595544E-2</v>
      </c>
      <c r="M22" s="64">
        <f>F22/F6</f>
        <v>0.18543961699746075</v>
      </c>
      <c r="N22" s="64">
        <f>G22/G6</f>
        <v>0.25463540952540875</v>
      </c>
      <c r="O22" s="64">
        <f>H22/H6</f>
        <v>0.30932172910523337</v>
      </c>
      <c r="P22" s="64">
        <f>I22/I6</f>
        <v>0.36663370277421092</v>
      </c>
      <c r="R22" s="10"/>
    </row>
    <row r="23" spans="2:18" ht="17.399999999999999" x14ac:dyDescent="0.5"/>
    <row r="24" spans="2:18" ht="17.399999999999999" x14ac:dyDescent="0.5">
      <c r="B24" s="10" t="s">
        <v>191</v>
      </c>
      <c r="C24" s="4"/>
      <c r="D24" s="15">
        <f>'CGTMSE Debt '!D9</f>
        <v>0.375</v>
      </c>
      <c r="E24" s="15">
        <f>D24</f>
        <v>0.375</v>
      </c>
      <c r="F24" s="15">
        <f>E24</f>
        <v>0.375</v>
      </c>
      <c r="G24" s="15">
        <f>F24</f>
        <v>0.375</v>
      </c>
      <c r="H24" s="15">
        <f>G24</f>
        <v>0.375</v>
      </c>
      <c r="I24" s="15">
        <f>H24</f>
        <v>0.375</v>
      </c>
      <c r="K24" s="25">
        <f>D24/D6</f>
        <v>6.2552126772310257E-2</v>
      </c>
      <c r="L24" s="25">
        <f>E24/E6</f>
        <v>9.109459262498178E-3</v>
      </c>
      <c r="M24" s="25">
        <f>F24/F6</f>
        <v>2.5910763331087735E-3</v>
      </c>
      <c r="N24" s="25">
        <f>G24/G6</f>
        <v>1.0672966088429083E-3</v>
      </c>
      <c r="O24" s="25">
        <f>H24/H6</f>
        <v>5.1261371480906847E-4</v>
      </c>
      <c r="P24" s="25">
        <f>I24/I6</f>
        <v>2.7018264346698369E-4</v>
      </c>
      <c r="R24" s="10" t="s">
        <v>349</v>
      </c>
    </row>
    <row r="25" spans="2:18" ht="17.399999999999999" x14ac:dyDescent="0.5">
      <c r="B25" s="14" t="s">
        <v>192</v>
      </c>
      <c r="C25" s="4"/>
      <c r="D25" s="62">
        <f>D22-D24</f>
        <v>-2.2948052784192519</v>
      </c>
      <c r="E25" s="62">
        <f t="shared" ref="E25:I25" si="18">E22-E24</f>
        <v>1.395231768227478</v>
      </c>
      <c r="F25" s="62">
        <f t="shared" si="18"/>
        <v>26.463212168999998</v>
      </c>
      <c r="G25" s="62">
        <f t="shared" si="18"/>
        <v>89.092424313799981</v>
      </c>
      <c r="H25" s="62">
        <f t="shared" si="18"/>
        <v>225.90776431828795</v>
      </c>
      <c r="I25" s="62">
        <f t="shared" si="18"/>
        <v>508.49424776546607</v>
      </c>
      <c r="K25" s="64">
        <f>D25/D6</f>
        <v>-0.38278653518252742</v>
      </c>
      <c r="L25" s="64">
        <f>E25/E6</f>
        <v>3.3892818545097361E-2</v>
      </c>
      <c r="M25" s="64">
        <f>F25/F6</f>
        <v>0.18284854066435197</v>
      </c>
      <c r="N25" s="64">
        <f>G25/G6</f>
        <v>0.25356811291656584</v>
      </c>
      <c r="O25" s="64">
        <f>H25/H6</f>
        <v>0.30880911539042433</v>
      </c>
      <c r="P25" s="64">
        <f>I25/I6</f>
        <v>0.36636352013074397</v>
      </c>
      <c r="R25" s="10"/>
    </row>
    <row r="26" spans="2:18" ht="17.399999999999999" x14ac:dyDescent="0.5"/>
    <row r="27" spans="2:18" ht="17.399999999999999" x14ac:dyDescent="0.5">
      <c r="B27" s="10" t="s">
        <v>193</v>
      </c>
      <c r="C27" s="4"/>
      <c r="D27" s="15">
        <v>0</v>
      </c>
      <c r="E27" s="15">
        <f>D25</f>
        <v>-2.2948052784192519</v>
      </c>
      <c r="F27" s="15">
        <v>0</v>
      </c>
      <c r="G27" s="15">
        <v>0</v>
      </c>
      <c r="H27" s="15">
        <v>0</v>
      </c>
      <c r="I27" s="15">
        <v>0</v>
      </c>
      <c r="K27" s="25"/>
      <c r="L27" s="25"/>
      <c r="M27" s="25"/>
      <c r="N27" s="25"/>
      <c r="O27" s="25"/>
      <c r="P27" s="25"/>
      <c r="R27" s="10"/>
    </row>
    <row r="28" spans="2:18" ht="17.399999999999999" x14ac:dyDescent="0.5">
      <c r="B28" s="14" t="s">
        <v>195</v>
      </c>
      <c r="C28" s="3"/>
      <c r="D28" s="62">
        <f>D25-D27</f>
        <v>-2.2948052784192519</v>
      </c>
      <c r="E28" s="62">
        <f>E25+E27</f>
        <v>-0.8995735101917739</v>
      </c>
      <c r="F28" s="62">
        <f t="shared" ref="F28:I28" si="19">F25+F27</f>
        <v>26.463212168999998</v>
      </c>
      <c r="G28" s="62">
        <f t="shared" si="19"/>
        <v>89.092424313799981</v>
      </c>
      <c r="H28" s="62">
        <f t="shared" si="19"/>
        <v>225.90776431828795</v>
      </c>
      <c r="I28" s="62">
        <f t="shared" si="19"/>
        <v>508.49424776546607</v>
      </c>
      <c r="K28" s="25"/>
      <c r="L28" s="25"/>
      <c r="M28" s="25"/>
      <c r="N28" s="25"/>
      <c r="O28" s="25"/>
      <c r="P28" s="25"/>
      <c r="R28" s="10"/>
    </row>
    <row r="29" spans="2:18" ht="17.399999999999999" x14ac:dyDescent="0.5">
      <c r="B29" s="10" t="s">
        <v>194</v>
      </c>
      <c r="C29" s="4"/>
      <c r="D29" s="15">
        <v>0</v>
      </c>
      <c r="E29" s="15">
        <f>E28*0.25</f>
        <v>-0.22489337754794347</v>
      </c>
      <c r="F29" s="15">
        <f t="shared" ref="F29:I29" si="20">F28*0.25</f>
        <v>6.6158030422499996</v>
      </c>
      <c r="G29" s="15">
        <f t="shared" si="20"/>
        <v>22.273106078449995</v>
      </c>
      <c r="H29" s="15">
        <f t="shared" si="20"/>
        <v>56.476941079571986</v>
      </c>
      <c r="I29" s="15">
        <f t="shared" si="20"/>
        <v>127.12356194136652</v>
      </c>
      <c r="K29" s="25">
        <f>D29/D28</f>
        <v>0</v>
      </c>
      <c r="L29" s="25">
        <f t="shared" ref="L29:P29" si="21">E29/E28</f>
        <v>0.25</v>
      </c>
      <c r="M29" s="25">
        <f t="shared" si="21"/>
        <v>0.25</v>
      </c>
      <c r="N29" s="25">
        <f t="shared" si="21"/>
        <v>0.25</v>
      </c>
      <c r="O29" s="25">
        <f t="shared" si="21"/>
        <v>0.25</v>
      </c>
      <c r="P29" s="25">
        <f t="shared" si="21"/>
        <v>0.25</v>
      </c>
      <c r="R29" s="10" t="s">
        <v>350</v>
      </c>
    </row>
    <row r="30" spans="2:18" ht="17.399999999999999" x14ac:dyDescent="0.5"/>
    <row r="31" spans="2:18" ht="17.399999999999999" x14ac:dyDescent="0.5">
      <c r="B31" s="14" t="s">
        <v>187</v>
      </c>
      <c r="C31" s="4"/>
      <c r="D31" s="65">
        <f>D28-D29</f>
        <v>-2.2948052784192519</v>
      </c>
      <c r="E31" s="65">
        <f t="shared" ref="E31:I31" si="22">E28-E29</f>
        <v>-0.67468013264383042</v>
      </c>
      <c r="F31" s="65">
        <f t="shared" si="22"/>
        <v>19.847409126749998</v>
      </c>
      <c r="G31" s="65">
        <f t="shared" si="22"/>
        <v>66.819318235349982</v>
      </c>
      <c r="H31" s="65">
        <f t="shared" si="22"/>
        <v>169.43082323871596</v>
      </c>
      <c r="I31" s="65">
        <f t="shared" si="22"/>
        <v>381.37068582409955</v>
      </c>
      <c r="K31" s="25">
        <f>D31/D6</f>
        <v>-0.38278653518252742</v>
      </c>
      <c r="L31" s="25">
        <f>E31/E6</f>
        <v>-1.6389256489428908E-2</v>
      </c>
      <c r="M31" s="25">
        <f>F31/F6</f>
        <v>0.13713640549826397</v>
      </c>
      <c r="N31" s="25">
        <f>G31/G6</f>
        <v>0.19017608468742436</v>
      </c>
      <c r="O31" s="25">
        <f>H31/H6</f>
        <v>0.23160683654281825</v>
      </c>
      <c r="P31" s="25">
        <f>I31/I6</f>
        <v>0.27477264009805796</v>
      </c>
      <c r="R31" s="14" t="s">
        <v>351</v>
      </c>
    </row>
    <row r="32" spans="2:18" ht="17.399999999999999" x14ac:dyDescent="0.5">
      <c r="B32" s="21"/>
      <c r="R32" s="21"/>
    </row>
    <row r="34" ht="17.399999999999999" x14ac:dyDescent="0.5"/>
    <row r="35" ht="17.399999999999999" x14ac:dyDescent="0.5"/>
    <row r="36" ht="17.399999999999999" x14ac:dyDescent="0.5"/>
    <row r="37" ht="17.399999999999999" x14ac:dyDescent="0.5"/>
    <row r="38" ht="17.399999999999999" x14ac:dyDescent="0.5"/>
    <row r="39" ht="17.399999999999999" x14ac:dyDescent="0.5"/>
    <row r="41" ht="17.399999999999999" x14ac:dyDescent="0.5"/>
    <row r="42" ht="17.399999999999999" x14ac:dyDescent="0.5"/>
    <row r="44" ht="17.399999999999999" x14ac:dyDescent="0.5"/>
    <row r="45" ht="17.399999999999999" x14ac:dyDescent="0.5"/>
    <row r="46" ht="17.399999999999999" x14ac:dyDescent="0.5"/>
    <row r="47" ht="17.399999999999999" x14ac:dyDescent="0.5"/>
    <row r="49" ht="17.399999999999999" x14ac:dyDescent="0.5"/>
    <row r="50" ht="17.399999999999999" x14ac:dyDescent="0.5"/>
    <row r="52" ht="17.399999999999999" x14ac:dyDescent="0.5"/>
    <row r="53" ht="17.399999999999999" x14ac:dyDescent="0.5"/>
    <row r="54" ht="17.399999999999999" x14ac:dyDescent="0.5"/>
    <row r="55" ht="17.399999999999999" x14ac:dyDescent="0.5"/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38F8-582E-4DA9-8DE6-2945EF64AD26}">
  <dimension ref="B2:AD34"/>
  <sheetViews>
    <sheetView showGridLines="0" zoomScaleNormal="100" workbookViewId="0">
      <selection activeCell="S27" sqref="S27"/>
    </sheetView>
  </sheetViews>
  <sheetFormatPr defaultRowHeight="17.399999999999999" x14ac:dyDescent="0.5"/>
  <cols>
    <col min="1" max="1" width="3.33203125" style="2" customWidth="1"/>
    <col min="2" max="2" width="32.44140625" style="2" bestFit="1" customWidth="1"/>
    <col min="3" max="3" width="1.5546875" style="2" bestFit="1" customWidth="1"/>
    <col min="4" max="4" width="9" style="16" bestFit="1" customWidth="1"/>
    <col min="5" max="9" width="8.21875" style="16" bestFit="1" customWidth="1"/>
    <col min="10" max="10" width="2" style="2" bestFit="1" customWidth="1"/>
    <col min="11" max="16" width="8.88671875" style="22"/>
    <col min="17" max="16384" width="8.88671875" style="2"/>
  </cols>
  <sheetData>
    <row r="2" spans="2:30" x14ac:dyDescent="0.5">
      <c r="B2" s="1" t="s">
        <v>17</v>
      </c>
    </row>
    <row r="3" spans="2:30" x14ac:dyDescent="0.5">
      <c r="B3" s="2" t="s">
        <v>42</v>
      </c>
    </row>
    <row r="5" spans="2:30" x14ac:dyDescent="0.5">
      <c r="B5" s="3" t="s">
        <v>248</v>
      </c>
      <c r="C5" s="4"/>
      <c r="D5" s="18" t="s">
        <v>267</v>
      </c>
      <c r="E5" s="19"/>
      <c r="F5" s="19"/>
      <c r="G5" s="19"/>
      <c r="H5" s="19"/>
      <c r="I5" s="19"/>
      <c r="K5" s="23" t="s">
        <v>177</v>
      </c>
      <c r="L5" s="24"/>
      <c r="M5" s="24"/>
      <c r="N5" s="24"/>
      <c r="O5" s="24"/>
      <c r="P5" s="24"/>
    </row>
    <row r="6" spans="2:30" x14ac:dyDescent="0.5">
      <c r="B6" s="7" t="s">
        <v>23</v>
      </c>
      <c r="C6" s="4" t="s">
        <v>25</v>
      </c>
      <c r="D6" s="20" t="s">
        <v>2</v>
      </c>
      <c r="E6" s="20" t="s">
        <v>3</v>
      </c>
      <c r="F6" s="20" t="s">
        <v>4</v>
      </c>
      <c r="G6" s="20" t="s">
        <v>5</v>
      </c>
      <c r="H6" s="20" t="s">
        <v>6</v>
      </c>
      <c r="I6" s="20" t="s">
        <v>7</v>
      </c>
      <c r="J6" s="2" t="s">
        <v>25</v>
      </c>
      <c r="K6" s="20" t="s">
        <v>2</v>
      </c>
      <c r="L6" s="20" t="s">
        <v>3</v>
      </c>
      <c r="M6" s="20" t="s">
        <v>4</v>
      </c>
      <c r="N6" s="20" t="s">
        <v>5</v>
      </c>
      <c r="O6" s="20" t="s">
        <v>6</v>
      </c>
      <c r="P6" s="20" t="s">
        <v>7</v>
      </c>
    </row>
    <row r="7" spans="2:30" x14ac:dyDescent="0.5">
      <c r="B7" s="10" t="s">
        <v>223</v>
      </c>
      <c r="C7" s="4"/>
      <c r="D7" s="15">
        <f>SUMIF('Revenue Master'!$D:$D,'Sales Summary'!$B7,'Revenue Master'!I:I)</f>
        <v>0</v>
      </c>
      <c r="E7" s="15">
        <f>SUMIF('Revenue Master'!$D:$D,'Sales Summary'!$B7,'Revenue Master'!J:J)</f>
        <v>0.35400000000000004</v>
      </c>
      <c r="F7" s="15">
        <f>SUMIF('Revenue Master'!$D:$D,'Sales Summary'!$B7,'Revenue Master'!K:K)</f>
        <v>3.75</v>
      </c>
      <c r="G7" s="15">
        <f>SUMIF('Revenue Master'!$D:$D,'Sales Summary'!$B7,'Revenue Master'!L:L)</f>
        <v>12.000000000000002</v>
      </c>
      <c r="H7" s="15">
        <f>SUMIF('Revenue Master'!$D:$D,'Sales Summary'!$B7,'Revenue Master'!M:M)</f>
        <v>33</v>
      </c>
      <c r="I7" s="15">
        <f>SUMIF('Revenue Master'!$D:$D,'Sales Summary'!$B7,'Revenue Master'!N:N)</f>
        <v>75</v>
      </c>
      <c r="K7" s="25">
        <f>D7/D$12</f>
        <v>0</v>
      </c>
      <c r="L7" s="25">
        <f t="shared" ref="L7:L10" si="0">E7/E$12</f>
        <v>8.59932954379828E-3</v>
      </c>
      <c r="M7" s="25">
        <f t="shared" ref="M7:M10" si="1">F7/F$12</f>
        <v>2.5910763331087737E-2</v>
      </c>
      <c r="N7" s="25">
        <f t="shared" ref="N7:N10" si="2">G7/G$12</f>
        <v>3.4153491482973072E-2</v>
      </c>
      <c r="O7" s="25">
        <f t="shared" ref="O7:O10" si="3">H7/H$12</f>
        <v>4.5110006903198024E-2</v>
      </c>
      <c r="P7" s="25">
        <f t="shared" ref="P7:P10" si="4">I7/I$12</f>
        <v>5.4036528693396736E-2</v>
      </c>
    </row>
    <row r="8" spans="2:30" x14ac:dyDescent="0.5">
      <c r="B8" s="10" t="s">
        <v>9</v>
      </c>
      <c r="C8" s="4"/>
      <c r="D8" s="15">
        <f>SUMIF('Revenue Master'!$D:$D,'Sales Summary'!$B8,'Revenue Master'!I:I)</f>
        <v>0.375</v>
      </c>
      <c r="E8" s="15">
        <f>SUMIF('Revenue Master'!$D:$D,'Sales Summary'!$B8,'Revenue Master'!J:J)</f>
        <v>1.4500000000000002</v>
      </c>
      <c r="F8" s="15">
        <f>SUMIF('Revenue Master'!$D:$D,'Sales Summary'!$B8,'Revenue Master'!K:K)</f>
        <v>3.9750000000000001</v>
      </c>
      <c r="G8" s="15">
        <f>SUMIF('Revenue Master'!$D:$D,'Sales Summary'!$B8,'Revenue Master'!L:L)</f>
        <v>9</v>
      </c>
      <c r="H8" s="15">
        <f>SUMIF('Revenue Master'!$D:$D,'Sales Summary'!$B8,'Revenue Master'!M:M)</f>
        <v>18.5</v>
      </c>
      <c r="I8" s="15">
        <f>SUMIF('Revenue Master'!$D:$D,'Sales Summary'!$B8,'Revenue Master'!N:N)</f>
        <v>33.5</v>
      </c>
      <c r="K8" s="25">
        <f t="shared" ref="K8:K10" si="5">D8/D$12</f>
        <v>6.2552126772310271E-2</v>
      </c>
      <c r="L8" s="25">
        <f t="shared" si="0"/>
        <v>3.5223242481659624E-2</v>
      </c>
      <c r="M8" s="25">
        <f t="shared" si="1"/>
        <v>2.7465409130953002E-2</v>
      </c>
      <c r="N8" s="25">
        <f t="shared" si="2"/>
        <v>2.5615118612229797E-2</v>
      </c>
      <c r="O8" s="25">
        <f t="shared" si="3"/>
        <v>2.5288943263914041E-2</v>
      </c>
      <c r="P8" s="25">
        <f t="shared" si="4"/>
        <v>2.4136316149717209E-2</v>
      </c>
    </row>
    <row r="9" spans="2:30" x14ac:dyDescent="0.5">
      <c r="B9" s="10" t="s">
        <v>8</v>
      </c>
      <c r="C9" s="4"/>
      <c r="D9" s="15">
        <f>SUMIF('Revenue Master'!$D:$D,'Sales Summary'!$B9,'Revenue Master'!I:I)</f>
        <v>5.6199999999999992</v>
      </c>
      <c r="E9" s="15">
        <f>SUMIF('Revenue Master'!$D:$D,'Sales Summary'!$B9,'Revenue Master'!J:J)</f>
        <v>39.362000000000002</v>
      </c>
      <c r="F9" s="15">
        <f>SUMIF('Revenue Master'!$D:$D,'Sales Summary'!$B9,'Revenue Master'!K:K)</f>
        <v>135.0025</v>
      </c>
      <c r="G9" s="15">
        <f>SUMIF('Revenue Master'!$D:$D,'Sales Summary'!$B9,'Revenue Master'!L:L)</f>
        <v>324.35499999999996</v>
      </c>
      <c r="H9" s="15">
        <f>SUMIF('Revenue Master'!$D:$D,'Sales Summary'!$B9,'Revenue Master'!M:M)</f>
        <v>662.04500000000007</v>
      </c>
      <c r="I9" s="15">
        <f>SUMIF('Revenue Master'!$D:$D,'Sales Summary'!$B9,'Revenue Master'!N:N)</f>
        <v>1229.45</v>
      </c>
      <c r="K9" s="25">
        <f t="shared" si="5"/>
        <v>0.93744787322768974</v>
      </c>
      <c r="L9" s="25">
        <f t="shared" si="0"/>
        <v>0.95617742797454208</v>
      </c>
      <c r="M9" s="25">
        <f t="shared" si="1"/>
        <v>0.93280475376137917</v>
      </c>
      <c r="N9" s="25">
        <f t="shared" si="2"/>
        <v>0.92315464416331061</v>
      </c>
      <c r="O9" s="25">
        <f t="shared" si="3"/>
        <v>0.90499559152205267</v>
      </c>
      <c r="P9" s="25">
        <f t="shared" si="4"/>
        <v>0.88580280269462153</v>
      </c>
    </row>
    <row r="10" spans="2:30" x14ac:dyDescent="0.5">
      <c r="B10" s="10" t="s">
        <v>246</v>
      </c>
      <c r="C10" s="4"/>
      <c r="D10" s="15">
        <f>SUMIF('Revenue Master'!$D:$D,'Sales Summary'!$B10,'Revenue Master'!I:I)</f>
        <v>0</v>
      </c>
      <c r="E10" s="15">
        <f>SUMIF('Revenue Master'!$D:$D,'Sales Summary'!$B10,'Revenue Master'!J:J)</f>
        <v>0</v>
      </c>
      <c r="F10" s="15">
        <f>SUMIF('Revenue Master'!$D:$D,'Sales Summary'!$B10,'Revenue Master'!K:K)</f>
        <v>2</v>
      </c>
      <c r="G10" s="15">
        <f>SUMIF('Revenue Master'!$D:$D,'Sales Summary'!$B10,'Revenue Master'!L:L)</f>
        <v>6</v>
      </c>
      <c r="H10" s="15">
        <f>SUMIF('Revenue Master'!$D:$D,'Sales Summary'!$B10,'Revenue Master'!M:M)</f>
        <v>18</v>
      </c>
      <c r="I10" s="15">
        <f>SUMIF('Revenue Master'!$D:$D,'Sales Summary'!$B10,'Revenue Master'!N:N)</f>
        <v>50</v>
      </c>
      <c r="K10" s="25">
        <f t="shared" si="5"/>
        <v>0</v>
      </c>
      <c r="L10" s="25">
        <f t="shared" si="0"/>
        <v>0</v>
      </c>
      <c r="M10" s="25">
        <f t="shared" si="1"/>
        <v>1.3819073776580126E-2</v>
      </c>
      <c r="N10" s="25">
        <f t="shared" si="2"/>
        <v>1.7076745741486533E-2</v>
      </c>
      <c r="O10" s="25">
        <f t="shared" si="3"/>
        <v>2.4605458310835285E-2</v>
      </c>
      <c r="P10" s="25">
        <f t="shared" si="4"/>
        <v>3.6024352462264486E-2</v>
      </c>
    </row>
    <row r="12" spans="2:30" x14ac:dyDescent="0.5">
      <c r="B12" s="14" t="s">
        <v>40</v>
      </c>
      <c r="C12" s="4"/>
      <c r="D12" s="62">
        <f>SUBTOTAL(9,D7:D10)</f>
        <v>5.9949999999999992</v>
      </c>
      <c r="E12" s="62">
        <f>SUBTOTAL(9,E7:E10)</f>
        <v>41.166000000000004</v>
      </c>
      <c r="F12" s="62">
        <f>SUBTOTAL(9,F7:F10)</f>
        <v>144.72749999999999</v>
      </c>
      <c r="G12" s="62">
        <f>SUBTOTAL(9,G7:G10)</f>
        <v>351.35499999999996</v>
      </c>
      <c r="H12" s="62">
        <f>SUBTOTAL(9,H7:H10)</f>
        <v>731.54500000000007</v>
      </c>
      <c r="I12" s="62">
        <f>SUBTOTAL(9,I7:I10)</f>
        <v>1387.95</v>
      </c>
      <c r="K12" s="64">
        <f t="shared" ref="K12:P12" si="6">D12/D$12</f>
        <v>1</v>
      </c>
      <c r="L12" s="64">
        <f t="shared" si="6"/>
        <v>1</v>
      </c>
      <c r="M12" s="64">
        <f t="shared" si="6"/>
        <v>1</v>
      </c>
      <c r="N12" s="64">
        <f t="shared" si="6"/>
        <v>1</v>
      </c>
      <c r="O12" s="64">
        <f t="shared" si="6"/>
        <v>1</v>
      </c>
      <c r="P12" s="64">
        <f t="shared" si="6"/>
        <v>1</v>
      </c>
    </row>
    <row r="14" spans="2:30" x14ac:dyDescent="0.5">
      <c r="B14" s="3" t="s">
        <v>266</v>
      </c>
      <c r="C14" s="4"/>
      <c r="D14" s="18" t="s">
        <v>267</v>
      </c>
      <c r="E14" s="19"/>
      <c r="F14" s="19"/>
      <c r="G14" s="19"/>
      <c r="H14" s="19"/>
      <c r="I14" s="19"/>
      <c r="K14" s="23" t="s">
        <v>177</v>
      </c>
      <c r="L14" s="24"/>
      <c r="M14" s="24"/>
      <c r="N14" s="24"/>
      <c r="O14" s="24"/>
      <c r="P14" s="24"/>
    </row>
    <row r="15" spans="2:30" x14ac:dyDescent="0.5">
      <c r="B15" s="7" t="s">
        <v>23</v>
      </c>
      <c r="C15" s="4" t="s">
        <v>25</v>
      </c>
      <c r="D15" s="20" t="s">
        <v>2</v>
      </c>
      <c r="E15" s="20" t="s">
        <v>3</v>
      </c>
      <c r="F15" s="20" t="s">
        <v>4</v>
      </c>
      <c r="G15" s="20" t="s">
        <v>5</v>
      </c>
      <c r="H15" s="20" t="s">
        <v>6</v>
      </c>
      <c r="I15" s="20" t="s">
        <v>7</v>
      </c>
      <c r="K15" s="20" t="s">
        <v>2</v>
      </c>
      <c r="L15" s="20" t="s">
        <v>3</v>
      </c>
      <c r="M15" s="20" t="s">
        <v>4</v>
      </c>
      <c r="N15" s="20" t="s">
        <v>5</v>
      </c>
      <c r="O15" s="20" t="s">
        <v>6</v>
      </c>
      <c r="P15" s="20" t="s">
        <v>7</v>
      </c>
    </row>
    <row r="16" spans="2:30" x14ac:dyDescent="0.5">
      <c r="B16" s="10" t="s">
        <v>249</v>
      </c>
      <c r="C16" s="4"/>
      <c r="D16" s="15">
        <f>SUMIF('Revenue Master'!$E:$E,'Sales Summary'!$B16,'Revenue Master'!I:I)</f>
        <v>0</v>
      </c>
      <c r="E16" s="15">
        <f>SUMIF('Revenue Master'!$E:$E,'Sales Summary'!$B16,'Revenue Master'!J:J)</f>
        <v>0.35400000000000004</v>
      </c>
      <c r="F16" s="15">
        <f>SUMIF('Revenue Master'!$E:$E,'Sales Summary'!$B16,'Revenue Master'!K:K)</f>
        <v>3.75</v>
      </c>
      <c r="G16" s="15">
        <f>SUMIF('Revenue Master'!$E:$E,'Sales Summary'!$B16,'Revenue Master'!L:L)</f>
        <v>12.000000000000002</v>
      </c>
      <c r="H16" s="15">
        <f>SUMIF('Revenue Master'!$E:$E,'Sales Summary'!$B16,'Revenue Master'!M:M)</f>
        <v>33</v>
      </c>
      <c r="I16" s="15">
        <f>SUMIF('Revenue Master'!$E:$E,'Sales Summary'!$B16,'Revenue Master'!N:N)</f>
        <v>75</v>
      </c>
      <c r="K16" s="25">
        <f t="shared" ref="K16:K19" si="7">D16/D$12</f>
        <v>0</v>
      </c>
      <c r="L16" s="25">
        <f t="shared" ref="L16:L19" si="8">E16/E$12</f>
        <v>8.59932954379828E-3</v>
      </c>
      <c r="M16" s="25">
        <f t="shared" ref="M16:M19" si="9">F16/F$12</f>
        <v>2.5910763331087737E-2</v>
      </c>
      <c r="N16" s="25">
        <f t="shared" ref="N16:N19" si="10">G16/G$12</f>
        <v>3.4153491482973072E-2</v>
      </c>
      <c r="O16" s="25">
        <f t="shared" ref="O16:O19" si="11">H16/H$12</f>
        <v>4.5110006903198024E-2</v>
      </c>
      <c r="P16" s="25">
        <f t="shared" ref="P16:P19" si="12">I16/I$12</f>
        <v>5.4036528693396736E-2</v>
      </c>
      <c r="Y16" s="35"/>
      <c r="Z16" s="35"/>
      <c r="AA16" s="35"/>
      <c r="AB16" s="35"/>
      <c r="AC16" s="35"/>
      <c r="AD16" s="35"/>
    </row>
    <row r="17" spans="2:30" x14ac:dyDescent="0.5">
      <c r="B17" s="10" t="s">
        <v>251</v>
      </c>
      <c r="C17" s="4"/>
      <c r="D17" s="15">
        <f>SUMIF('Revenue Master'!$E:$E,'Sales Summary'!$B17,'Revenue Master'!I:I)</f>
        <v>0.375</v>
      </c>
      <c r="E17" s="15">
        <f>SUMIF('Revenue Master'!$E:$E,'Sales Summary'!$B17,'Revenue Master'!J:J)</f>
        <v>1.4500000000000002</v>
      </c>
      <c r="F17" s="15">
        <f>SUMIF('Revenue Master'!$E:$E,'Sales Summary'!$B17,'Revenue Master'!K:K)</f>
        <v>3.9750000000000001</v>
      </c>
      <c r="G17" s="15">
        <f>SUMIF('Revenue Master'!$E:$E,'Sales Summary'!$B17,'Revenue Master'!L:L)</f>
        <v>9</v>
      </c>
      <c r="H17" s="15">
        <f>SUMIF('Revenue Master'!$E:$E,'Sales Summary'!$B17,'Revenue Master'!M:M)</f>
        <v>18.5</v>
      </c>
      <c r="I17" s="15">
        <f>SUMIF('Revenue Master'!$E:$E,'Sales Summary'!$B17,'Revenue Master'!N:N)</f>
        <v>33.5</v>
      </c>
      <c r="K17" s="25">
        <f t="shared" si="7"/>
        <v>6.2552126772310271E-2</v>
      </c>
      <c r="L17" s="25">
        <f t="shared" si="8"/>
        <v>3.5223242481659624E-2</v>
      </c>
      <c r="M17" s="25">
        <f t="shared" si="9"/>
        <v>2.7465409130953002E-2</v>
      </c>
      <c r="N17" s="25">
        <f t="shared" si="10"/>
        <v>2.5615118612229797E-2</v>
      </c>
      <c r="O17" s="25">
        <f t="shared" si="11"/>
        <v>2.5288943263914041E-2</v>
      </c>
      <c r="P17" s="25">
        <f t="shared" si="12"/>
        <v>2.4136316149717209E-2</v>
      </c>
      <c r="Y17" s="35"/>
      <c r="Z17" s="35"/>
      <c r="AA17" s="35"/>
      <c r="AB17" s="35"/>
      <c r="AC17" s="35"/>
      <c r="AD17" s="35"/>
    </row>
    <row r="18" spans="2:30" x14ac:dyDescent="0.5">
      <c r="B18" s="10" t="s">
        <v>253</v>
      </c>
      <c r="C18" s="4"/>
      <c r="D18" s="15">
        <f>SUMIF('Revenue Master'!$E:$E,'Sales Summary'!$B18,'Revenue Master'!I:I)</f>
        <v>2.12</v>
      </c>
      <c r="E18" s="15">
        <f>SUMIF('Revenue Master'!$E:$E,'Sales Summary'!$B18,'Revenue Master'!J:J)</f>
        <v>6.4000000000000012</v>
      </c>
      <c r="F18" s="15">
        <f>SUMIF('Revenue Master'!$E:$E,'Sales Summary'!$B18,'Revenue Master'!K:K)</f>
        <v>20.100000000000001</v>
      </c>
      <c r="G18" s="15">
        <f>SUMIF('Revenue Master'!$E:$E,'Sales Summary'!$B18,'Revenue Master'!L:L)</f>
        <v>44</v>
      </c>
      <c r="H18" s="15">
        <f>SUMIF('Revenue Master'!$E:$E,'Sales Summary'!$B18,'Revenue Master'!M:M)</f>
        <v>89.6</v>
      </c>
      <c r="I18" s="15">
        <f>SUMIF('Revenue Master'!$E:$E,'Sales Summary'!$B18,'Revenue Master'!N:N)</f>
        <v>153</v>
      </c>
      <c r="K18" s="25">
        <f t="shared" si="7"/>
        <v>0.35362802335279409</v>
      </c>
      <c r="L18" s="25">
        <f t="shared" si="8"/>
        <v>0.15546810474663558</v>
      </c>
      <c r="M18" s="25">
        <f t="shared" si="9"/>
        <v>0.13888169145463028</v>
      </c>
      <c r="N18" s="25">
        <f t="shared" si="10"/>
        <v>0.12522946877090124</v>
      </c>
      <c r="O18" s="25">
        <f t="shared" si="11"/>
        <v>0.1224805035917134</v>
      </c>
      <c r="P18" s="25">
        <f t="shared" si="12"/>
        <v>0.11023451853452934</v>
      </c>
      <c r="Y18" s="35"/>
      <c r="Z18" s="35"/>
      <c r="AA18" s="35"/>
      <c r="AB18" s="35"/>
      <c r="AC18" s="35"/>
      <c r="AD18" s="35"/>
    </row>
    <row r="19" spans="2:30" x14ac:dyDescent="0.5">
      <c r="B19" s="10" t="s">
        <v>254</v>
      </c>
      <c r="C19" s="4"/>
      <c r="D19" s="15">
        <f>SUMIF('Revenue Master'!$E:$E,'Sales Summary'!$B19,'Revenue Master'!I:I)</f>
        <v>3.5</v>
      </c>
      <c r="E19" s="15">
        <f>SUMIF('Revenue Master'!$E:$E,'Sales Summary'!$B19,'Revenue Master'!J:J)</f>
        <v>27.056000000000001</v>
      </c>
      <c r="F19" s="15">
        <f>SUMIF('Revenue Master'!$E:$E,'Sales Summary'!$B19,'Revenue Master'!K:K)</f>
        <v>101.11499999999999</v>
      </c>
      <c r="G19" s="15">
        <f>SUMIF('Revenue Master'!$E:$E,'Sales Summary'!$B19,'Revenue Master'!L:L)</f>
        <v>251.53</v>
      </c>
      <c r="H19" s="15">
        <f>SUMIF('Revenue Master'!$E:$E,'Sales Summary'!$B19,'Revenue Master'!M:M)</f>
        <v>516.04500000000007</v>
      </c>
      <c r="I19" s="15">
        <f>SUMIF('Revenue Master'!$E:$E,'Sales Summary'!$B19,'Revenue Master'!N:N)</f>
        <v>966.15</v>
      </c>
      <c r="K19" s="25">
        <f t="shared" si="7"/>
        <v>0.58381984987489577</v>
      </c>
      <c r="L19" s="25">
        <f t="shared" si="8"/>
        <v>0.6572414128164018</v>
      </c>
      <c r="M19" s="25">
        <f t="shared" si="9"/>
        <v>0.69865782245944963</v>
      </c>
      <c r="N19" s="25">
        <f t="shared" si="10"/>
        <v>0.71588564272601796</v>
      </c>
      <c r="O19" s="25">
        <f t="shared" si="11"/>
        <v>0.70541798522305532</v>
      </c>
      <c r="P19" s="25">
        <f t="shared" si="12"/>
        <v>0.69609856262833669</v>
      </c>
      <c r="Y19" s="35"/>
      <c r="Z19" s="35"/>
      <c r="AA19" s="35"/>
      <c r="AB19" s="35"/>
      <c r="AC19" s="35"/>
      <c r="AD19" s="35"/>
    </row>
    <row r="20" spans="2:30" x14ac:dyDescent="0.5">
      <c r="B20" s="10" t="s">
        <v>256</v>
      </c>
      <c r="C20" s="4"/>
      <c r="D20" s="15">
        <f>SUMIF('Revenue Master'!$E:$E,'Sales Summary'!$B20,'Revenue Master'!I:I)</f>
        <v>0</v>
      </c>
      <c r="E20" s="15">
        <f>SUMIF('Revenue Master'!$E:$E,'Sales Summary'!$B20,'Revenue Master'!J:J)</f>
        <v>5.9060000000000006</v>
      </c>
      <c r="F20" s="15">
        <f>SUMIF('Revenue Master'!$E:$E,'Sales Summary'!$B20,'Revenue Master'!K:K)</f>
        <v>13.7875</v>
      </c>
      <c r="G20" s="15">
        <f>SUMIF('Revenue Master'!$E:$E,'Sales Summary'!$B20,'Revenue Master'!L:L)</f>
        <v>28.824999999999999</v>
      </c>
      <c r="H20" s="15">
        <f>SUMIF('Revenue Master'!$E:$E,'Sales Summary'!$B20,'Revenue Master'!M:M)</f>
        <v>56.4</v>
      </c>
      <c r="I20" s="15">
        <f>SUMIF('Revenue Master'!$E:$E,'Sales Summary'!$B20,'Revenue Master'!N:N)</f>
        <v>110.3</v>
      </c>
      <c r="K20" s="25">
        <f t="shared" ref="K20:K21" si="13">D20/D$12</f>
        <v>0</v>
      </c>
      <c r="L20" s="25">
        <f t="shared" ref="L20:L21" si="14">E20/E$12</f>
        <v>0.14346791041150464</v>
      </c>
      <c r="M20" s="25">
        <f t="shared" ref="M20:M21" si="15">F20/F$12</f>
        <v>9.5265239847299232E-2</v>
      </c>
      <c r="N20" s="25">
        <f t="shared" ref="N20:N21" si="16">G20/G$12</f>
        <v>8.2039532666391551E-2</v>
      </c>
      <c r="O20" s="25">
        <f t="shared" ref="O20:O21" si="17">H20/H$12</f>
        <v>7.7097102707283885E-2</v>
      </c>
      <c r="P20" s="25">
        <f t="shared" ref="P20:P21" si="18">I20/I$12</f>
        <v>7.9469721531755466E-2</v>
      </c>
      <c r="Y20" s="35"/>
      <c r="Z20" s="35"/>
      <c r="AA20" s="35"/>
      <c r="AB20" s="35"/>
      <c r="AC20" s="35"/>
      <c r="AD20" s="35"/>
    </row>
    <row r="21" spans="2:30" x14ac:dyDescent="0.5">
      <c r="B21" s="10" t="s">
        <v>257</v>
      </c>
      <c r="C21" s="4"/>
      <c r="D21" s="15">
        <f>SUMIF('Revenue Master'!$E:$E,'Sales Summary'!$B21,'Revenue Master'!I:I)</f>
        <v>0</v>
      </c>
      <c r="E21" s="15">
        <f>SUMIF('Revenue Master'!$E:$E,'Sales Summary'!$B21,'Revenue Master'!J:J)</f>
        <v>0</v>
      </c>
      <c r="F21" s="15">
        <f>SUMIF('Revenue Master'!$E:$E,'Sales Summary'!$B21,'Revenue Master'!K:K)</f>
        <v>2</v>
      </c>
      <c r="G21" s="15">
        <f>SUMIF('Revenue Master'!$E:$E,'Sales Summary'!$B21,'Revenue Master'!L:L)</f>
        <v>6</v>
      </c>
      <c r="H21" s="15">
        <f>SUMIF('Revenue Master'!$E:$E,'Sales Summary'!$B21,'Revenue Master'!M:M)</f>
        <v>18</v>
      </c>
      <c r="I21" s="15">
        <f>SUMIF('Revenue Master'!$E:$E,'Sales Summary'!$B21,'Revenue Master'!N:N)</f>
        <v>50</v>
      </c>
      <c r="K21" s="25">
        <f t="shared" si="13"/>
        <v>0</v>
      </c>
      <c r="L21" s="25">
        <f t="shared" si="14"/>
        <v>0</v>
      </c>
      <c r="M21" s="25">
        <f t="shared" si="15"/>
        <v>1.3819073776580126E-2</v>
      </c>
      <c r="N21" s="25">
        <f t="shared" si="16"/>
        <v>1.7076745741486533E-2</v>
      </c>
      <c r="O21" s="25">
        <f t="shared" si="17"/>
        <v>2.4605458310835285E-2</v>
      </c>
      <c r="P21" s="25">
        <f t="shared" si="18"/>
        <v>3.6024352462264486E-2</v>
      </c>
      <c r="Y21" s="35"/>
      <c r="Z21" s="35"/>
      <c r="AA21" s="35"/>
      <c r="AB21" s="35"/>
      <c r="AC21" s="35"/>
      <c r="AD21" s="35"/>
    </row>
    <row r="23" spans="2:30" s="1" customFormat="1" x14ac:dyDescent="0.5">
      <c r="B23" s="14" t="s">
        <v>40</v>
      </c>
      <c r="C23" s="3"/>
      <c r="D23" s="62">
        <f>SUBTOTAL(9,D16:D21)</f>
        <v>5.9950000000000001</v>
      </c>
      <c r="E23" s="62">
        <f t="shared" ref="E23:I23" si="19">SUBTOTAL(9,E16:E21)</f>
        <v>41.166000000000004</v>
      </c>
      <c r="F23" s="62">
        <f t="shared" si="19"/>
        <v>144.72749999999999</v>
      </c>
      <c r="G23" s="62">
        <f t="shared" si="19"/>
        <v>351.35499999999996</v>
      </c>
      <c r="H23" s="62">
        <f t="shared" si="19"/>
        <v>731.54500000000007</v>
      </c>
      <c r="I23" s="62">
        <f t="shared" si="19"/>
        <v>1387.95</v>
      </c>
      <c r="K23" s="64">
        <f>D23/D$12</f>
        <v>1.0000000000000002</v>
      </c>
      <c r="L23" s="64">
        <f t="shared" ref="L23:P23" si="20">E23/E$12</f>
        <v>1</v>
      </c>
      <c r="M23" s="64">
        <f t="shared" si="20"/>
        <v>1</v>
      </c>
      <c r="N23" s="64">
        <f t="shared" si="20"/>
        <v>1</v>
      </c>
      <c r="O23" s="64">
        <f t="shared" si="20"/>
        <v>1</v>
      </c>
      <c r="P23" s="64">
        <f t="shared" si="20"/>
        <v>1</v>
      </c>
    </row>
    <row r="24" spans="2:30" x14ac:dyDescent="0.5">
      <c r="B24" s="21"/>
    </row>
    <row r="26" spans="2:30" x14ac:dyDescent="0.5">
      <c r="B26" s="3" t="s">
        <v>268</v>
      </c>
      <c r="C26" s="4"/>
      <c r="D26" s="18" t="s">
        <v>267</v>
      </c>
      <c r="E26" s="19"/>
      <c r="F26" s="19"/>
      <c r="G26" s="19"/>
      <c r="H26" s="19"/>
      <c r="I26" s="19"/>
      <c r="K26" s="23" t="s">
        <v>177</v>
      </c>
      <c r="L26" s="24"/>
      <c r="M26" s="24"/>
      <c r="N26" s="24"/>
      <c r="O26" s="24"/>
      <c r="P26" s="24"/>
    </row>
    <row r="27" spans="2:30" x14ac:dyDescent="0.5">
      <c r="B27" s="7" t="s">
        <v>23</v>
      </c>
      <c r="C27" s="4" t="s">
        <v>25</v>
      </c>
      <c r="D27" s="20" t="s">
        <v>2</v>
      </c>
      <c r="E27" s="20" t="s">
        <v>3</v>
      </c>
      <c r="F27" s="20" t="s">
        <v>4</v>
      </c>
      <c r="G27" s="20" t="s">
        <v>5</v>
      </c>
      <c r="H27" s="20" t="s">
        <v>6</v>
      </c>
      <c r="I27" s="20" t="s">
        <v>7</v>
      </c>
      <c r="K27" s="20" t="s">
        <v>2</v>
      </c>
      <c r="L27" s="20" t="s">
        <v>3</v>
      </c>
      <c r="M27" s="20" t="s">
        <v>4</v>
      </c>
      <c r="N27" s="20" t="s">
        <v>5</v>
      </c>
      <c r="O27" s="20" t="s">
        <v>6</v>
      </c>
      <c r="P27" s="20" t="s">
        <v>7</v>
      </c>
    </row>
    <row r="28" spans="2:30" x14ac:dyDescent="0.5">
      <c r="B28" s="10" t="s">
        <v>250</v>
      </c>
      <c r="C28" s="4"/>
      <c r="D28" s="15">
        <f>SUMIF('Revenue Master'!$F:$F,'Sales Summary'!$B28,'Revenue Master'!I:I)</f>
        <v>0</v>
      </c>
      <c r="E28" s="15">
        <f>SUMIF('Revenue Master'!$F:$F,'Sales Summary'!$B28,'Revenue Master'!J:J)</f>
        <v>0.35400000000000004</v>
      </c>
      <c r="F28" s="15">
        <f>SUMIF('Revenue Master'!$F:$F,'Sales Summary'!$B28,'Revenue Master'!K:K)</f>
        <v>3.75</v>
      </c>
      <c r="G28" s="15">
        <f>SUMIF('Revenue Master'!$F:$F,'Sales Summary'!$B28,'Revenue Master'!L:L)</f>
        <v>12.000000000000002</v>
      </c>
      <c r="H28" s="15">
        <f>SUMIF('Revenue Master'!$F:$F,'Sales Summary'!$B28,'Revenue Master'!M:M)</f>
        <v>33</v>
      </c>
      <c r="I28" s="15">
        <f>SUMIF('Revenue Master'!$F:$F,'Sales Summary'!$B28,'Revenue Master'!N:N)</f>
        <v>75</v>
      </c>
      <c r="K28" s="25">
        <f t="shared" ref="K28:K31" si="21">D28/D$12</f>
        <v>0</v>
      </c>
      <c r="L28" s="25">
        <f t="shared" ref="L28:L31" si="22">E28/E$12</f>
        <v>8.59932954379828E-3</v>
      </c>
      <c r="M28" s="25">
        <f t="shared" ref="M28:M31" si="23">F28/F$12</f>
        <v>2.5910763331087737E-2</v>
      </c>
      <c r="N28" s="25">
        <f t="shared" ref="N28:N31" si="24">G28/G$12</f>
        <v>3.4153491482973072E-2</v>
      </c>
      <c r="O28" s="25">
        <f t="shared" ref="O28:O31" si="25">H28/H$12</f>
        <v>4.5110006903198024E-2</v>
      </c>
      <c r="P28" s="25">
        <f t="shared" ref="P28:P31" si="26">I28/I$12</f>
        <v>5.4036528693396736E-2</v>
      </c>
    </row>
    <row r="29" spans="2:30" x14ac:dyDescent="0.5">
      <c r="B29" s="10" t="s">
        <v>252</v>
      </c>
      <c r="C29" s="4"/>
      <c r="D29" s="15">
        <f>SUMIF('Revenue Master'!$F:$F,'Sales Summary'!$B29,'Revenue Master'!I:I)</f>
        <v>5.9950000000000001</v>
      </c>
      <c r="E29" s="15">
        <f>SUMIF('Revenue Master'!$F:$F,'Sales Summary'!$B29,'Revenue Master'!J:J)</f>
        <v>37.512</v>
      </c>
      <c r="F29" s="15">
        <f>SUMIF('Revenue Master'!$F:$F,'Sales Summary'!$B29,'Revenue Master'!K:K)</f>
        <v>132.3775</v>
      </c>
      <c r="G29" s="15">
        <f>SUMIF('Revenue Master'!$F:$F,'Sales Summary'!$B29,'Revenue Master'!L:L)</f>
        <v>316.85499999999996</v>
      </c>
      <c r="H29" s="15">
        <f>SUMIF('Revenue Master'!$F:$F,'Sales Summary'!$B29,'Revenue Master'!M:M)</f>
        <v>647.54500000000007</v>
      </c>
      <c r="I29" s="15">
        <f>SUMIF('Revenue Master'!$F:$F,'Sales Summary'!$B29,'Revenue Master'!N:N)</f>
        <v>1196.95</v>
      </c>
      <c r="K29" s="25">
        <f t="shared" ref="K29:K31" si="27">D29/D$12</f>
        <v>1.0000000000000002</v>
      </c>
      <c r="L29" s="25">
        <f t="shared" ref="L29:L31" si="28">E29/E$12</f>
        <v>0.91123742894621773</v>
      </c>
      <c r="M29" s="25">
        <f t="shared" ref="M29:M31" si="29">F29/F$12</f>
        <v>0.91466721942961782</v>
      </c>
      <c r="N29" s="25">
        <f t="shared" ref="N29:N31" si="30">G29/G$12</f>
        <v>0.9018087119864524</v>
      </c>
      <c r="O29" s="25">
        <f t="shared" ref="O29:O31" si="31">H29/H$12</f>
        <v>0.88517452788276862</v>
      </c>
      <c r="P29" s="25">
        <f t="shared" ref="P29:P31" si="32">I29/I$12</f>
        <v>0.86238697359414962</v>
      </c>
    </row>
    <row r="30" spans="2:30" x14ac:dyDescent="0.5">
      <c r="B30" s="10" t="s">
        <v>255</v>
      </c>
      <c r="C30" s="4"/>
      <c r="D30" s="15">
        <f>SUMIF('Revenue Master'!$F:$F,'Sales Summary'!$B30,'Revenue Master'!I:I)</f>
        <v>0</v>
      </c>
      <c r="E30" s="15">
        <f>SUMIF('Revenue Master'!$F:$F,'Sales Summary'!$B30,'Revenue Master'!J:J)</f>
        <v>3.3</v>
      </c>
      <c r="F30" s="15">
        <f>SUMIF('Revenue Master'!$F:$F,'Sales Summary'!$B30,'Revenue Master'!K:K)</f>
        <v>6.6</v>
      </c>
      <c r="G30" s="15">
        <f>SUMIF('Revenue Master'!$F:$F,'Sales Summary'!$B30,'Revenue Master'!L:L)</f>
        <v>16.5</v>
      </c>
      <c r="H30" s="15">
        <f>SUMIF('Revenue Master'!$F:$F,'Sales Summary'!$B30,'Revenue Master'!M:M)</f>
        <v>33</v>
      </c>
      <c r="I30" s="15">
        <f>SUMIF('Revenue Master'!$F:$F,'Sales Summary'!$B30,'Revenue Master'!N:N)</f>
        <v>66</v>
      </c>
      <c r="K30" s="25">
        <f t="shared" si="27"/>
        <v>0</v>
      </c>
      <c r="L30" s="25">
        <f t="shared" si="28"/>
        <v>8.0163241509983954E-2</v>
      </c>
      <c r="M30" s="25">
        <f t="shared" si="29"/>
        <v>4.5602943462714408E-2</v>
      </c>
      <c r="N30" s="25">
        <f t="shared" si="30"/>
        <v>4.6961050789087966E-2</v>
      </c>
      <c r="O30" s="25">
        <f t="shared" si="31"/>
        <v>4.5110006903198024E-2</v>
      </c>
      <c r="P30" s="25">
        <f t="shared" si="32"/>
        <v>4.7552145250189123E-2</v>
      </c>
    </row>
    <row r="31" spans="2:30" x14ac:dyDescent="0.5">
      <c r="B31" s="10" t="s">
        <v>258</v>
      </c>
      <c r="C31" s="4"/>
      <c r="D31" s="15">
        <f>SUMIF('Revenue Master'!$F:$F,'Sales Summary'!$B31,'Revenue Master'!I:I)</f>
        <v>0</v>
      </c>
      <c r="E31" s="15">
        <f>SUMIF('Revenue Master'!$F:$F,'Sales Summary'!$B31,'Revenue Master'!J:J)</f>
        <v>0</v>
      </c>
      <c r="F31" s="15">
        <f>SUMIF('Revenue Master'!$F:$F,'Sales Summary'!$B31,'Revenue Master'!K:K)</f>
        <v>2</v>
      </c>
      <c r="G31" s="15">
        <f>SUMIF('Revenue Master'!$F:$F,'Sales Summary'!$B31,'Revenue Master'!L:L)</f>
        <v>6</v>
      </c>
      <c r="H31" s="15">
        <f>SUMIF('Revenue Master'!$F:$F,'Sales Summary'!$B31,'Revenue Master'!M:M)</f>
        <v>18</v>
      </c>
      <c r="I31" s="15">
        <f>SUMIF('Revenue Master'!$F:$F,'Sales Summary'!$B31,'Revenue Master'!N:N)</f>
        <v>50</v>
      </c>
      <c r="K31" s="25">
        <f t="shared" si="27"/>
        <v>0</v>
      </c>
      <c r="L31" s="25">
        <f t="shared" si="28"/>
        <v>0</v>
      </c>
      <c r="M31" s="25">
        <f t="shared" si="29"/>
        <v>1.3819073776580126E-2</v>
      </c>
      <c r="N31" s="25">
        <f t="shared" si="30"/>
        <v>1.7076745741486533E-2</v>
      </c>
      <c r="O31" s="25">
        <f t="shared" si="31"/>
        <v>2.4605458310835285E-2</v>
      </c>
      <c r="P31" s="25">
        <f t="shared" si="32"/>
        <v>3.6024352462264486E-2</v>
      </c>
    </row>
    <row r="33" spans="2:16" s="1" customFormat="1" x14ac:dyDescent="0.5">
      <c r="B33" s="14" t="s">
        <v>40</v>
      </c>
      <c r="C33" s="3"/>
      <c r="D33" s="62">
        <f>SUBTOTAL(9,D28:D31)</f>
        <v>5.9950000000000001</v>
      </c>
      <c r="E33" s="62">
        <f>SUBTOTAL(9,E28:E31)</f>
        <v>41.165999999999997</v>
      </c>
      <c r="F33" s="62">
        <f>SUBTOTAL(9,F28:F31)</f>
        <v>144.72749999999999</v>
      </c>
      <c r="G33" s="62">
        <f>SUBTOTAL(9,G28:G31)</f>
        <v>351.35499999999996</v>
      </c>
      <c r="H33" s="62">
        <f>SUBTOTAL(9,H28:H31)</f>
        <v>731.54500000000007</v>
      </c>
      <c r="I33" s="62">
        <f>SUBTOTAL(9,I28:I31)</f>
        <v>1387.95</v>
      </c>
      <c r="K33" s="64">
        <f t="shared" ref="K33:P33" si="33">D33/D$12</f>
        <v>1.0000000000000002</v>
      </c>
      <c r="L33" s="64">
        <f t="shared" si="33"/>
        <v>0.99999999999999978</v>
      </c>
      <c r="M33" s="64">
        <f t="shared" si="33"/>
        <v>1</v>
      </c>
      <c r="N33" s="64">
        <f t="shared" si="33"/>
        <v>1</v>
      </c>
      <c r="O33" s="64">
        <f t="shared" si="33"/>
        <v>1</v>
      </c>
      <c r="P33" s="64">
        <f t="shared" si="33"/>
        <v>1</v>
      </c>
    </row>
    <row r="34" spans="2:16" x14ac:dyDescent="0.5">
      <c r="B34" s="2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8D3783-21D3-48F4-8C38-7BBBE63B7A68}">
  <dimension ref="B2:H20"/>
  <sheetViews>
    <sheetView showGridLines="0" zoomScaleNormal="100" workbookViewId="0">
      <selection activeCell="F15" sqref="F15"/>
    </sheetView>
  </sheetViews>
  <sheetFormatPr defaultRowHeight="17.399999999999999" x14ac:dyDescent="0.5"/>
  <cols>
    <col min="1" max="1" width="3.33203125" style="2" customWidth="1"/>
    <col min="2" max="2" width="56" style="2" bestFit="1" customWidth="1"/>
    <col min="3" max="3" width="1.5546875" style="2" bestFit="1" customWidth="1"/>
    <col min="4" max="4" width="9" style="16" bestFit="1" customWidth="1"/>
    <col min="5" max="6" width="8.21875" style="16" bestFit="1" customWidth="1"/>
    <col min="7" max="7" width="2" style="2" bestFit="1" customWidth="1"/>
    <col min="8" max="8" width="144.109375" style="26" bestFit="1" customWidth="1"/>
    <col min="9" max="16384" width="8.88671875" style="2"/>
  </cols>
  <sheetData>
    <row r="2" spans="2:8" x14ac:dyDescent="0.5">
      <c r="B2" s="1" t="s">
        <v>17</v>
      </c>
    </row>
    <row r="3" spans="2:8" x14ac:dyDescent="0.5">
      <c r="B3" s="2" t="s">
        <v>196</v>
      </c>
    </row>
    <row r="5" spans="2:8" x14ac:dyDescent="0.5">
      <c r="B5" s="3" t="s">
        <v>197</v>
      </c>
      <c r="C5" s="4"/>
      <c r="D5" s="18" t="s">
        <v>19</v>
      </c>
      <c r="E5" s="19"/>
      <c r="F5" s="19"/>
      <c r="H5" s="27"/>
    </row>
    <row r="6" spans="2:8" x14ac:dyDescent="0.5">
      <c r="B6" s="7" t="s">
        <v>198</v>
      </c>
      <c r="C6" s="4" t="s">
        <v>25</v>
      </c>
      <c r="D6" s="20" t="s">
        <v>199</v>
      </c>
      <c r="E6" s="20" t="s">
        <v>53</v>
      </c>
      <c r="F6" s="2"/>
      <c r="H6" s="28" t="s">
        <v>178</v>
      </c>
    </row>
    <row r="7" spans="2:8" x14ac:dyDescent="0.5">
      <c r="B7" s="10" t="s">
        <v>200</v>
      </c>
      <c r="C7" s="4"/>
      <c r="D7" s="58">
        <v>4.7872340425531918</v>
      </c>
      <c r="E7" s="15">
        <f>D7*Assumptions!$D$5/10</f>
        <v>45.000000000000007</v>
      </c>
      <c r="F7" s="2"/>
      <c r="H7" s="29" t="s">
        <v>202</v>
      </c>
    </row>
    <row r="8" spans="2:8" x14ac:dyDescent="0.5">
      <c r="B8" s="10" t="s">
        <v>201</v>
      </c>
      <c r="C8" s="4"/>
      <c r="D8" s="58">
        <v>1.0638297872340425</v>
      </c>
      <c r="E8" s="15">
        <f>D8*Assumptions!$D$5/10</f>
        <v>10</v>
      </c>
      <c r="F8" s="2"/>
      <c r="H8" s="29" t="s">
        <v>203</v>
      </c>
    </row>
    <row r="9" spans="2:8" x14ac:dyDescent="0.5">
      <c r="D9" s="66"/>
    </row>
    <row r="10" spans="2:8" x14ac:dyDescent="0.5">
      <c r="B10" s="14" t="s">
        <v>40</v>
      </c>
      <c r="C10" s="4"/>
      <c r="D10" s="58">
        <f>SUM(D7:D8)</f>
        <v>5.8510638297872344</v>
      </c>
      <c r="E10" s="15">
        <f>SUBTOTAL(9,E7:E8)</f>
        <v>55.000000000000007</v>
      </c>
      <c r="H10" s="29" t="s">
        <v>354</v>
      </c>
    </row>
    <row r="12" spans="2:8" x14ac:dyDescent="0.5">
      <c r="B12" s="3" t="s">
        <v>204</v>
      </c>
      <c r="C12" s="4"/>
      <c r="D12" s="18" t="s">
        <v>19</v>
      </c>
      <c r="E12" s="19"/>
      <c r="F12" s="19"/>
      <c r="H12" s="27"/>
    </row>
    <row r="13" spans="2:8" x14ac:dyDescent="0.5">
      <c r="B13" s="7" t="s">
        <v>205</v>
      </c>
      <c r="C13" s="4" t="s">
        <v>25</v>
      </c>
      <c r="D13" s="20" t="s">
        <v>199</v>
      </c>
      <c r="E13" s="20" t="s">
        <v>53</v>
      </c>
      <c r="F13" s="20" t="s">
        <v>210</v>
      </c>
      <c r="H13" s="28" t="s">
        <v>44</v>
      </c>
    </row>
    <row r="14" spans="2:8" x14ac:dyDescent="0.5">
      <c r="B14" s="10" t="s">
        <v>206</v>
      </c>
      <c r="C14" s="4"/>
      <c r="D14" s="15">
        <v>3.17</v>
      </c>
      <c r="E14" s="15">
        <f>D14*Assumptions!$D$5/10</f>
        <v>29.798000000000002</v>
      </c>
      <c r="F14" s="25">
        <f>E14/$E$19</f>
        <v>0.54188034188034184</v>
      </c>
      <c r="H14" s="29" t="s">
        <v>270</v>
      </c>
    </row>
    <row r="15" spans="2:8" x14ac:dyDescent="0.5">
      <c r="B15" s="10" t="s">
        <v>207</v>
      </c>
      <c r="C15" s="4"/>
      <c r="D15" s="15">
        <v>0.96</v>
      </c>
      <c r="E15" s="15">
        <f>D15*Assumptions!$D$5/10</f>
        <v>9.0239999999999991</v>
      </c>
      <c r="F15" s="25">
        <f>E15/$E$19</f>
        <v>0.16410256410256407</v>
      </c>
      <c r="H15" s="29" t="s">
        <v>271</v>
      </c>
    </row>
    <row r="16" spans="2:8" x14ac:dyDescent="0.5">
      <c r="B16" s="10" t="s">
        <v>208</v>
      </c>
      <c r="C16" s="4"/>
      <c r="D16" s="15">
        <v>0.48</v>
      </c>
      <c r="E16" s="15">
        <f>D16*Assumptions!$D$5/10</f>
        <v>4.5119999999999996</v>
      </c>
      <c r="F16" s="25">
        <f>E16/$E$19</f>
        <v>8.2051282051282037E-2</v>
      </c>
      <c r="H16" s="29" t="s">
        <v>272</v>
      </c>
    </row>
    <row r="17" spans="2:8" x14ac:dyDescent="0.5">
      <c r="B17" s="10" t="s">
        <v>209</v>
      </c>
      <c r="C17" s="4"/>
      <c r="D17" s="15">
        <v>1.24</v>
      </c>
      <c r="E17" s="15">
        <f>D17*Assumptions!$D$5/10</f>
        <v>11.656000000000001</v>
      </c>
      <c r="F17" s="25">
        <f>E17/$E$19</f>
        <v>0.21196581196581196</v>
      </c>
      <c r="H17" s="29" t="s">
        <v>273</v>
      </c>
    </row>
    <row r="19" spans="2:8" x14ac:dyDescent="0.5">
      <c r="B19" s="14" t="s">
        <v>40</v>
      </c>
      <c r="C19" s="4"/>
      <c r="D19" s="58">
        <f>SUBTOTAL(9,D14:D17)</f>
        <v>5.85</v>
      </c>
      <c r="E19" s="15">
        <f>SUBTOTAL(9,E14:E17)</f>
        <v>54.99</v>
      </c>
      <c r="F19" s="25">
        <f>E19/E19</f>
        <v>1</v>
      </c>
      <c r="H19" s="29" t="s">
        <v>211</v>
      </c>
    </row>
    <row r="20" spans="2:8" x14ac:dyDescent="0.5">
      <c r="B20" s="2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A3B642-8759-4F6B-8327-4863F0137CE9}">
  <dimension ref="B2:F9"/>
  <sheetViews>
    <sheetView showGridLines="0" zoomScale="110" zoomScaleNormal="110" workbookViewId="0"/>
  </sheetViews>
  <sheetFormatPr defaultRowHeight="17.399999999999999" x14ac:dyDescent="0.5"/>
  <cols>
    <col min="1" max="1" width="3.33203125" style="2" customWidth="1"/>
    <col min="2" max="2" width="56" style="2" bestFit="1" customWidth="1"/>
    <col min="3" max="3" width="1.5546875" style="2" bestFit="1" customWidth="1"/>
    <col min="4" max="4" width="14.33203125" style="16" bestFit="1" customWidth="1"/>
    <col min="5" max="5" width="2" style="16" bestFit="1" customWidth="1"/>
    <col min="6" max="6" width="48.88671875" style="26" bestFit="1" customWidth="1"/>
    <col min="7" max="16384" width="8.88671875" style="2"/>
  </cols>
  <sheetData>
    <row r="2" spans="2:6" x14ac:dyDescent="0.5">
      <c r="B2" s="1" t="s">
        <v>17</v>
      </c>
    </row>
    <row r="3" spans="2:6" x14ac:dyDescent="0.5">
      <c r="B3" s="2" t="s">
        <v>212</v>
      </c>
    </row>
    <row r="5" spans="2:6" x14ac:dyDescent="0.5">
      <c r="B5" s="7" t="s">
        <v>132</v>
      </c>
      <c r="C5" s="4" t="s">
        <v>25</v>
      </c>
      <c r="D5" s="20" t="s">
        <v>218</v>
      </c>
      <c r="E5" s="2" t="s">
        <v>25</v>
      </c>
      <c r="F5" s="28" t="s">
        <v>178</v>
      </c>
    </row>
    <row r="6" spans="2:6" x14ac:dyDescent="0.5">
      <c r="B6" s="10" t="s">
        <v>213</v>
      </c>
      <c r="C6" s="4"/>
      <c r="D6" s="58">
        <v>0.36</v>
      </c>
      <c r="E6" s="2"/>
      <c r="F6" s="29" t="s">
        <v>216</v>
      </c>
    </row>
    <row r="7" spans="2:6" x14ac:dyDescent="0.5">
      <c r="B7" s="10" t="s">
        <v>214</v>
      </c>
      <c r="C7" s="4"/>
      <c r="D7" s="58">
        <v>0.12</v>
      </c>
      <c r="E7" s="2"/>
      <c r="F7" s="29" t="s">
        <v>288</v>
      </c>
    </row>
    <row r="8" spans="2:6" x14ac:dyDescent="0.5">
      <c r="B8" s="10" t="s">
        <v>215</v>
      </c>
      <c r="C8" s="4"/>
      <c r="D8" s="58">
        <v>2</v>
      </c>
      <c r="E8" s="2"/>
      <c r="F8" s="29" t="s">
        <v>217</v>
      </c>
    </row>
    <row r="9" spans="2:6" x14ac:dyDescent="0.5">
      <c r="B9" s="40"/>
      <c r="C9" s="4"/>
      <c r="D9" s="67"/>
      <c r="E9" s="2"/>
      <c r="F9" s="59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EFD27B-43FC-4E5D-8C45-259043605205}">
  <dimension ref="B2:D9"/>
  <sheetViews>
    <sheetView showGridLines="0" zoomScaleNormal="100" workbookViewId="0"/>
  </sheetViews>
  <sheetFormatPr defaultRowHeight="17.399999999999999" x14ac:dyDescent="0.5"/>
  <cols>
    <col min="1" max="1" width="3.33203125" style="2" customWidth="1"/>
    <col min="2" max="2" width="56" style="2" bestFit="1" customWidth="1"/>
    <col min="3" max="3" width="1.5546875" style="2" bestFit="1" customWidth="1"/>
    <col min="4" max="4" width="14.33203125" style="16" bestFit="1" customWidth="1"/>
    <col min="5" max="16384" width="8.88671875" style="2"/>
  </cols>
  <sheetData>
    <row r="2" spans="2:4" x14ac:dyDescent="0.5">
      <c r="B2" s="1" t="s">
        <v>17</v>
      </c>
    </row>
    <row r="3" spans="2:4" x14ac:dyDescent="0.5">
      <c r="B3" s="2" t="s">
        <v>289</v>
      </c>
    </row>
    <row r="5" spans="2:4" x14ac:dyDescent="0.5">
      <c r="B5" s="7" t="s">
        <v>132</v>
      </c>
      <c r="C5" s="4" t="s">
        <v>25</v>
      </c>
      <c r="D5" s="20" t="s">
        <v>218</v>
      </c>
    </row>
    <row r="6" spans="2:4" x14ac:dyDescent="0.5">
      <c r="B6" s="10" t="s">
        <v>290</v>
      </c>
      <c r="C6" s="4"/>
      <c r="D6" s="58">
        <v>10</v>
      </c>
    </row>
    <row r="7" spans="2:4" x14ac:dyDescent="0.5">
      <c r="B7" s="10" t="s">
        <v>291</v>
      </c>
      <c r="C7" s="4"/>
      <c r="D7" s="25">
        <v>0.15</v>
      </c>
    </row>
    <row r="8" spans="2:4" x14ac:dyDescent="0.5">
      <c r="B8" s="10" t="s">
        <v>292</v>
      </c>
      <c r="C8" s="4"/>
      <c r="D8" s="25">
        <v>0.25</v>
      </c>
    </row>
    <row r="9" spans="2:4" x14ac:dyDescent="0.5">
      <c r="B9" s="10" t="s">
        <v>293</v>
      </c>
      <c r="C9" s="4"/>
      <c r="D9" s="32">
        <f>D6*D8*D7</f>
        <v>0.375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96F561-AEE5-451E-8F38-59C214078678}">
  <dimension ref="B2:G13"/>
  <sheetViews>
    <sheetView showGridLines="0" zoomScaleNormal="100" workbookViewId="0"/>
  </sheetViews>
  <sheetFormatPr defaultRowHeight="17.399999999999999" x14ac:dyDescent="0.5"/>
  <cols>
    <col min="1" max="1" width="3.33203125" style="2" customWidth="1"/>
    <col min="2" max="2" width="56" style="2" bestFit="1" customWidth="1"/>
    <col min="3" max="3" width="18.77734375" style="2" bestFit="1" customWidth="1"/>
    <col min="4" max="4" width="14.33203125" style="16" bestFit="1" customWidth="1"/>
    <col min="5" max="5" width="17.21875" style="2" bestFit="1" customWidth="1"/>
    <col min="6" max="6" width="2" style="2" bestFit="1" customWidth="1"/>
    <col min="7" max="7" width="29.5546875" style="2" customWidth="1"/>
    <col min="8" max="16384" width="8.88671875" style="2"/>
  </cols>
  <sheetData>
    <row r="2" spans="2:7" x14ac:dyDescent="0.5">
      <c r="B2" s="1" t="s">
        <v>17</v>
      </c>
      <c r="C2" s="1"/>
    </row>
    <row r="3" spans="2:7" x14ac:dyDescent="0.5">
      <c r="B3" s="2" t="s">
        <v>294</v>
      </c>
    </row>
    <row r="5" spans="2:7" x14ac:dyDescent="0.5">
      <c r="B5" s="7" t="s">
        <v>295</v>
      </c>
      <c r="C5" s="7" t="s">
        <v>303</v>
      </c>
      <c r="D5" s="20" t="s">
        <v>301</v>
      </c>
      <c r="E5" s="20" t="s">
        <v>302</v>
      </c>
      <c r="F5" s="2" t="s">
        <v>25</v>
      </c>
      <c r="G5" s="28" t="s">
        <v>178</v>
      </c>
    </row>
    <row r="6" spans="2:7" x14ac:dyDescent="0.5">
      <c r="B6" s="10" t="s">
        <v>296</v>
      </c>
      <c r="C6" s="10" t="s">
        <v>305</v>
      </c>
      <c r="D6" s="34">
        <v>1000</v>
      </c>
      <c r="E6" s="45">
        <f>D6/$D$13</f>
        <v>9.7279103475782364E-3</v>
      </c>
      <c r="G6" s="98" t="s">
        <v>353</v>
      </c>
    </row>
    <row r="7" spans="2:7" x14ac:dyDescent="0.5">
      <c r="B7" s="10" t="s">
        <v>297</v>
      </c>
      <c r="C7" s="10" t="s">
        <v>305</v>
      </c>
      <c r="D7" s="34">
        <v>98300</v>
      </c>
      <c r="E7" s="45">
        <f>D7/$D$13</f>
        <v>0.95625358716694064</v>
      </c>
      <c r="G7" s="99"/>
    </row>
    <row r="8" spans="2:7" x14ac:dyDescent="0.5">
      <c r="B8" s="10" t="s">
        <v>298</v>
      </c>
      <c r="C8" s="10" t="s">
        <v>306</v>
      </c>
      <c r="D8" s="34">
        <v>697</v>
      </c>
      <c r="E8" s="45">
        <f>D8/$D$13</f>
        <v>6.7803535122620308E-3</v>
      </c>
      <c r="G8" s="99"/>
    </row>
    <row r="9" spans="2:7" x14ac:dyDescent="0.5">
      <c r="B9" s="10" t="s">
        <v>299</v>
      </c>
      <c r="C9" s="10" t="s">
        <v>306</v>
      </c>
      <c r="D9" s="34">
        <v>121</v>
      </c>
      <c r="E9" s="45">
        <f>D9/$D$13</f>
        <v>1.1770771520569667E-3</v>
      </c>
      <c r="G9" s="99"/>
    </row>
    <row r="10" spans="2:7" x14ac:dyDescent="0.5">
      <c r="B10" s="10" t="s">
        <v>300</v>
      </c>
      <c r="C10" s="10" t="s">
        <v>306</v>
      </c>
      <c r="D10" s="34">
        <v>893</v>
      </c>
      <c r="E10" s="45">
        <f>D10/$D$13</f>
        <v>8.6870239403873655E-3</v>
      </c>
      <c r="G10" s="99"/>
    </row>
    <row r="11" spans="2:7" x14ac:dyDescent="0.5">
      <c r="B11" s="10" t="s">
        <v>307</v>
      </c>
      <c r="C11" s="10" t="s">
        <v>306</v>
      </c>
      <c r="D11" s="34">
        <v>893</v>
      </c>
      <c r="E11" s="45">
        <f>D11/$D$13</f>
        <v>8.6870239403873655E-3</v>
      </c>
      <c r="G11" s="99"/>
    </row>
    <row r="12" spans="2:7" x14ac:dyDescent="0.5">
      <c r="B12" s="10" t="s">
        <v>308</v>
      </c>
      <c r="C12" s="10" t="s">
        <v>306</v>
      </c>
      <c r="D12" s="34">
        <v>893</v>
      </c>
      <c r="E12" s="45">
        <f>D12/$D$13</f>
        <v>8.6870239403873655E-3</v>
      </c>
      <c r="G12" s="99"/>
    </row>
    <row r="13" spans="2:7" x14ac:dyDescent="0.5">
      <c r="B13" s="14" t="s">
        <v>304</v>
      </c>
      <c r="C13" s="14"/>
      <c r="D13" s="54">
        <f>SUM(D6:D12)</f>
        <v>102797</v>
      </c>
      <c r="E13" s="87">
        <f>SUM(E6:E12)</f>
        <v>0.99999999999999989</v>
      </c>
      <c r="G13" s="100"/>
    </row>
  </sheetData>
  <mergeCells count="1">
    <mergeCell ref="G6:G1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B1890-4160-4CE2-A45F-712A1DFE9846}">
  <sheetPr>
    <tabColor rgb="FF00B0F0"/>
  </sheetPr>
  <dimension ref="B2:H43"/>
  <sheetViews>
    <sheetView showGridLines="0" zoomScaleNormal="100" workbookViewId="0"/>
  </sheetViews>
  <sheetFormatPr defaultRowHeight="17.399999999999999" x14ac:dyDescent="0.5"/>
  <cols>
    <col min="1" max="1" width="3.33203125" style="2" customWidth="1"/>
    <col min="2" max="2" width="89.109375" style="2" bestFit="1" customWidth="1"/>
    <col min="3" max="3" width="1.5546875" style="2" bestFit="1" customWidth="1"/>
    <col min="4" max="4" width="13.109375" style="16" bestFit="1" customWidth="1"/>
    <col min="5" max="5" width="43.44140625" style="16" bestFit="1" customWidth="1"/>
    <col min="6" max="6" width="10.6640625" style="16" bestFit="1" customWidth="1"/>
    <col min="7" max="7" width="2" style="2" bestFit="1" customWidth="1"/>
    <col min="8" max="8" width="56.6640625" style="26" bestFit="1" customWidth="1"/>
    <col min="9" max="16384" width="8.88671875" style="2"/>
  </cols>
  <sheetData>
    <row r="2" spans="2:8" x14ac:dyDescent="0.5">
      <c r="B2" s="1" t="s">
        <v>17</v>
      </c>
    </row>
    <row r="3" spans="2:8" x14ac:dyDescent="0.5">
      <c r="B3" s="2" t="s">
        <v>106</v>
      </c>
    </row>
    <row r="5" spans="2:8" x14ac:dyDescent="0.5">
      <c r="B5" s="3" t="s">
        <v>107</v>
      </c>
      <c r="C5" s="4"/>
      <c r="D5" s="18"/>
      <c r="E5" s="19"/>
      <c r="F5" s="19"/>
      <c r="H5" s="27"/>
    </row>
    <row r="6" spans="2:8" x14ac:dyDescent="0.5">
      <c r="B6" s="7" t="s">
        <v>109</v>
      </c>
      <c r="C6" s="4" t="s">
        <v>25</v>
      </c>
      <c r="D6" s="20" t="s">
        <v>110</v>
      </c>
      <c r="E6" s="20" t="s">
        <v>117</v>
      </c>
      <c r="F6" s="2"/>
      <c r="H6" s="28" t="s">
        <v>138</v>
      </c>
    </row>
    <row r="7" spans="2:8" x14ac:dyDescent="0.5">
      <c r="B7" s="10" t="s">
        <v>111</v>
      </c>
      <c r="C7" s="4"/>
      <c r="D7" s="15">
        <v>53.2</v>
      </c>
      <c r="E7" s="15" t="s">
        <v>118</v>
      </c>
      <c r="F7" s="2"/>
      <c r="H7" s="29" t="s">
        <v>122</v>
      </c>
    </row>
    <row r="8" spans="2:8" x14ac:dyDescent="0.5">
      <c r="B8" s="10" t="s">
        <v>112</v>
      </c>
      <c r="C8" s="4"/>
      <c r="D8" s="15">
        <v>2.29</v>
      </c>
      <c r="E8" s="15" t="s">
        <v>118</v>
      </c>
      <c r="F8" s="2"/>
      <c r="H8" s="29" t="s">
        <v>123</v>
      </c>
    </row>
    <row r="9" spans="2:8" x14ac:dyDescent="0.5">
      <c r="B9" s="10" t="s">
        <v>113</v>
      </c>
      <c r="C9" s="4"/>
      <c r="D9" s="15">
        <v>200</v>
      </c>
      <c r="E9" s="15" t="s">
        <v>119</v>
      </c>
      <c r="F9" s="2"/>
      <c r="H9" s="29" t="s">
        <v>124</v>
      </c>
    </row>
    <row r="10" spans="2:8" x14ac:dyDescent="0.5">
      <c r="B10" s="10" t="s">
        <v>114</v>
      </c>
      <c r="C10" s="4"/>
      <c r="D10" s="15">
        <v>1</v>
      </c>
      <c r="E10" s="15" t="s">
        <v>120</v>
      </c>
      <c r="F10" s="2"/>
      <c r="H10" s="29" t="s">
        <v>125</v>
      </c>
    </row>
    <row r="11" spans="2:8" x14ac:dyDescent="0.5">
      <c r="B11" s="10" t="s">
        <v>115</v>
      </c>
      <c r="C11" s="4"/>
      <c r="D11" s="15">
        <v>0.5</v>
      </c>
      <c r="E11" s="15" t="s">
        <v>121</v>
      </c>
      <c r="F11" s="2"/>
      <c r="H11" s="29" t="s">
        <v>126</v>
      </c>
    </row>
    <row r="12" spans="2:8" x14ac:dyDescent="0.5">
      <c r="B12" s="10" t="s">
        <v>116</v>
      </c>
      <c r="C12" s="4"/>
      <c r="D12" s="15">
        <v>0.5</v>
      </c>
      <c r="E12" s="15" t="s">
        <v>120</v>
      </c>
      <c r="F12" s="2"/>
      <c r="H12" s="29" t="s">
        <v>127</v>
      </c>
    </row>
    <row r="14" spans="2:8" x14ac:dyDescent="0.5">
      <c r="B14" s="3" t="s">
        <v>108</v>
      </c>
      <c r="C14" s="4"/>
      <c r="D14" s="18"/>
      <c r="E14" s="19"/>
      <c r="F14" s="19"/>
      <c r="H14" s="27"/>
    </row>
    <row r="15" spans="2:8" x14ac:dyDescent="0.5">
      <c r="B15" s="7" t="s">
        <v>23</v>
      </c>
      <c r="C15" s="4" t="s">
        <v>25</v>
      </c>
      <c r="D15" s="20" t="s">
        <v>132</v>
      </c>
      <c r="E15" s="19"/>
      <c r="F15" s="19"/>
      <c r="H15" s="28" t="s">
        <v>138</v>
      </c>
    </row>
    <row r="16" spans="2:8" x14ac:dyDescent="0.5">
      <c r="B16" s="10" t="s">
        <v>128</v>
      </c>
      <c r="C16" s="4"/>
      <c r="D16" s="61">
        <v>18000</v>
      </c>
      <c r="E16" s="19"/>
      <c r="F16" s="19"/>
      <c r="H16" s="29" t="s">
        <v>133</v>
      </c>
    </row>
    <row r="17" spans="2:8" x14ac:dyDescent="0.5">
      <c r="B17" s="10" t="s">
        <v>129</v>
      </c>
      <c r="C17" s="4"/>
      <c r="D17" s="45">
        <v>1.7999999999999999E-2</v>
      </c>
      <c r="E17" s="19"/>
      <c r="F17" s="19"/>
      <c r="H17" s="29" t="s">
        <v>134</v>
      </c>
    </row>
    <row r="18" spans="2:8" x14ac:dyDescent="0.5">
      <c r="B18" s="10" t="s">
        <v>130</v>
      </c>
      <c r="C18" s="4"/>
      <c r="D18" s="61">
        <v>54000</v>
      </c>
      <c r="E18" s="19"/>
      <c r="F18" s="19"/>
      <c r="H18" s="29" t="s">
        <v>135</v>
      </c>
    </row>
    <row r="19" spans="2:8" x14ac:dyDescent="0.5">
      <c r="B19" s="10" t="s">
        <v>131</v>
      </c>
      <c r="C19" s="4"/>
      <c r="D19" s="60" t="s">
        <v>137</v>
      </c>
      <c r="E19" s="19"/>
      <c r="F19" s="19"/>
      <c r="H19" s="29" t="s">
        <v>136</v>
      </c>
    </row>
    <row r="21" spans="2:8" x14ac:dyDescent="0.5">
      <c r="B21" s="3" t="s">
        <v>139</v>
      </c>
      <c r="C21" s="4"/>
      <c r="D21" s="18"/>
      <c r="E21" s="19"/>
      <c r="F21" s="19"/>
      <c r="H21" s="27"/>
    </row>
    <row r="22" spans="2:8" x14ac:dyDescent="0.5">
      <c r="B22" s="7" t="s">
        <v>21</v>
      </c>
      <c r="C22" s="4" t="s">
        <v>25</v>
      </c>
      <c r="D22" s="20" t="s">
        <v>142</v>
      </c>
      <c r="E22" s="28" t="s">
        <v>143</v>
      </c>
      <c r="F22" s="20" t="s">
        <v>156</v>
      </c>
      <c r="H22" s="28" t="s">
        <v>138</v>
      </c>
    </row>
    <row r="23" spans="2:8" x14ac:dyDescent="0.5">
      <c r="B23" s="10" t="s">
        <v>33</v>
      </c>
      <c r="C23" s="4"/>
      <c r="D23" s="11">
        <v>18000</v>
      </c>
      <c r="E23" s="15" t="s">
        <v>144</v>
      </c>
      <c r="F23" s="45">
        <v>1.7999999999999999E-2</v>
      </c>
      <c r="H23" s="29" t="s">
        <v>158</v>
      </c>
    </row>
    <row r="24" spans="2:8" x14ac:dyDescent="0.5">
      <c r="B24" s="10" t="s">
        <v>31</v>
      </c>
      <c r="C24" s="4"/>
      <c r="D24" s="11">
        <v>54000</v>
      </c>
      <c r="E24" s="15" t="s">
        <v>145</v>
      </c>
      <c r="F24" s="45">
        <v>9.2956000826275569E-3</v>
      </c>
      <c r="H24" s="29" t="s">
        <v>159</v>
      </c>
    </row>
    <row r="25" spans="2:8" x14ac:dyDescent="0.5">
      <c r="B25" s="10" t="s">
        <v>32</v>
      </c>
      <c r="C25" s="4"/>
      <c r="D25" s="11">
        <v>4200</v>
      </c>
      <c r="E25" s="15" t="s">
        <v>146</v>
      </c>
      <c r="F25" s="45" t="s">
        <v>157</v>
      </c>
      <c r="H25" s="29" t="s">
        <v>160</v>
      </c>
    </row>
    <row r="26" spans="2:8" x14ac:dyDescent="0.5">
      <c r="B26" s="10" t="s">
        <v>140</v>
      </c>
      <c r="C26" s="4"/>
      <c r="D26" s="11">
        <v>100</v>
      </c>
      <c r="E26" s="15" t="s">
        <v>147</v>
      </c>
      <c r="F26" s="45">
        <v>1.4285714285714287E-4</v>
      </c>
      <c r="H26" s="29" t="s">
        <v>161</v>
      </c>
    </row>
    <row r="27" spans="2:8" x14ac:dyDescent="0.5">
      <c r="B27" s="10" t="s">
        <v>34</v>
      </c>
      <c r="C27" s="4"/>
      <c r="D27" s="11">
        <v>50</v>
      </c>
      <c r="E27" s="15" t="s">
        <v>148</v>
      </c>
      <c r="F27" s="45">
        <v>2.2005246283882254E-4</v>
      </c>
      <c r="H27" s="29" t="s">
        <v>162</v>
      </c>
    </row>
    <row r="28" spans="2:8" x14ac:dyDescent="0.5">
      <c r="B28" s="10" t="s">
        <v>141</v>
      </c>
      <c r="C28" s="4"/>
      <c r="D28" s="11">
        <v>6000</v>
      </c>
      <c r="E28" s="15" t="s">
        <v>149</v>
      </c>
      <c r="F28" s="45">
        <v>2.0013297872340428E-3</v>
      </c>
      <c r="H28" s="29" t="s">
        <v>163</v>
      </c>
    </row>
    <row r="29" spans="2:8" x14ac:dyDescent="0.5">
      <c r="B29" s="10" t="s">
        <v>38</v>
      </c>
      <c r="C29" s="4"/>
      <c r="D29" s="11">
        <v>30000</v>
      </c>
      <c r="E29" s="15" t="s">
        <v>150</v>
      </c>
      <c r="F29" s="45">
        <v>2.5085942581064757E-3</v>
      </c>
      <c r="H29" s="29" t="s">
        <v>164</v>
      </c>
    </row>
    <row r="30" spans="2:8" x14ac:dyDescent="0.5">
      <c r="B30" s="10" t="s">
        <v>35</v>
      </c>
      <c r="C30" s="4"/>
      <c r="D30" s="11">
        <v>3200</v>
      </c>
      <c r="E30" s="15" t="s">
        <v>151</v>
      </c>
      <c r="F30" s="45">
        <v>1.0131712259371835E-3</v>
      </c>
      <c r="H30" s="29" t="s">
        <v>165</v>
      </c>
    </row>
    <row r="31" spans="2:8" x14ac:dyDescent="0.5">
      <c r="B31" s="10" t="s">
        <v>36</v>
      </c>
      <c r="C31" s="4"/>
      <c r="D31" s="11">
        <v>3000</v>
      </c>
      <c r="E31" s="15" t="s">
        <v>152</v>
      </c>
      <c r="F31" s="45">
        <v>2.9013539651837528E-4</v>
      </c>
      <c r="H31" s="29" t="s">
        <v>166</v>
      </c>
    </row>
    <row r="32" spans="2:8" x14ac:dyDescent="0.5">
      <c r="B32" s="10" t="s">
        <v>37</v>
      </c>
      <c r="C32" s="4"/>
      <c r="D32" s="11">
        <v>20000</v>
      </c>
      <c r="E32" s="15" t="s">
        <v>153</v>
      </c>
      <c r="F32" s="45" t="s">
        <v>157</v>
      </c>
      <c r="H32" s="29" t="s">
        <v>167</v>
      </c>
    </row>
    <row r="33" spans="2:8" x14ac:dyDescent="0.5">
      <c r="B33" s="10" t="s">
        <v>29</v>
      </c>
      <c r="C33" s="4"/>
      <c r="D33" s="11">
        <v>150</v>
      </c>
      <c r="E33" s="15" t="s">
        <v>154</v>
      </c>
      <c r="F33" s="45" t="s">
        <v>157</v>
      </c>
      <c r="H33" s="29" t="s">
        <v>168</v>
      </c>
    </row>
    <row r="34" spans="2:8" x14ac:dyDescent="0.5">
      <c r="B34" s="10" t="s">
        <v>39</v>
      </c>
      <c r="C34" s="4"/>
      <c r="D34" s="11">
        <v>400</v>
      </c>
      <c r="E34" s="15" t="s">
        <v>155</v>
      </c>
      <c r="F34" s="45" t="s">
        <v>157</v>
      </c>
      <c r="H34" s="29" t="s">
        <v>169</v>
      </c>
    </row>
    <row r="36" spans="2:8" x14ac:dyDescent="0.5">
      <c r="B36" s="2" t="s">
        <v>174</v>
      </c>
    </row>
    <row r="38" spans="2:8" x14ac:dyDescent="0.5">
      <c r="B38" s="1" t="s">
        <v>170</v>
      </c>
    </row>
    <row r="39" spans="2:8" x14ac:dyDescent="0.5">
      <c r="B39" s="2" t="s">
        <v>171</v>
      </c>
    </row>
    <row r="40" spans="2:8" x14ac:dyDescent="0.5">
      <c r="B40" s="2" t="s">
        <v>172</v>
      </c>
    </row>
    <row r="41" spans="2:8" x14ac:dyDescent="0.5">
      <c r="B41" s="2" t="s">
        <v>173</v>
      </c>
    </row>
    <row r="43" spans="2:8" x14ac:dyDescent="0.5">
      <c r="B43" s="2" t="s">
        <v>175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2532E9-5C95-453C-8306-0C4901310178}">
  <sheetPr>
    <tabColor rgb="FF00B0F0"/>
  </sheetPr>
  <dimension ref="A1"/>
  <sheetViews>
    <sheetView showGridLines="0" workbookViewId="0">
      <selection activeCell="I3" sqref="I3"/>
    </sheetView>
  </sheetViews>
  <sheetFormatPr defaultRowHeight="14.4" x14ac:dyDescent="0.3"/>
  <cols>
    <col min="1" max="16384" width="8.88671875" style="127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4CD074-B5FA-420B-B2CA-248B7439649F}">
  <dimension ref="B2:K29"/>
  <sheetViews>
    <sheetView showGridLines="0" zoomScaleNormal="100" workbookViewId="0"/>
  </sheetViews>
  <sheetFormatPr defaultRowHeight="17.399999999999999" x14ac:dyDescent="0.5"/>
  <cols>
    <col min="1" max="1" width="3.33203125" style="2" customWidth="1"/>
    <col min="2" max="2" width="32.44140625" style="2" bestFit="1" customWidth="1"/>
    <col min="3" max="3" width="1.5546875" style="2" bestFit="1" customWidth="1"/>
    <col min="4" max="4" width="9" style="16" bestFit="1" customWidth="1"/>
    <col min="5" max="9" width="8.21875" style="16" bestFit="1" customWidth="1"/>
    <col min="10" max="10" width="2" style="2" bestFit="1" customWidth="1"/>
    <col min="11" max="11" width="115.109375" style="26" bestFit="1" customWidth="1"/>
    <col min="12" max="16384" width="8.88671875" style="2"/>
  </cols>
  <sheetData>
    <row r="2" spans="2:11" x14ac:dyDescent="0.5">
      <c r="B2" s="1" t="s">
        <v>17</v>
      </c>
    </row>
    <row r="3" spans="2:11" x14ac:dyDescent="0.5">
      <c r="B3" s="2" t="s">
        <v>46</v>
      </c>
    </row>
    <row r="5" spans="2:11" x14ac:dyDescent="0.5">
      <c r="B5" s="7" t="s">
        <v>0</v>
      </c>
      <c r="C5" s="2" t="s">
        <v>25</v>
      </c>
      <c r="D5" s="16">
        <v>94</v>
      </c>
    </row>
    <row r="7" spans="2:11" x14ac:dyDescent="0.5">
      <c r="B7" s="3" t="s">
        <v>269</v>
      </c>
      <c r="C7" s="4"/>
      <c r="D7" s="18"/>
      <c r="E7" s="19"/>
      <c r="F7" s="19"/>
      <c r="G7" s="19"/>
      <c r="H7" s="19"/>
      <c r="I7" s="19"/>
      <c r="K7" s="27"/>
    </row>
    <row r="8" spans="2:11" x14ac:dyDescent="0.5">
      <c r="B8" s="7" t="s">
        <v>1</v>
      </c>
      <c r="C8" s="4" t="s">
        <v>25</v>
      </c>
      <c r="D8" s="20" t="s">
        <v>2</v>
      </c>
      <c r="E8" s="20" t="s">
        <v>3</v>
      </c>
      <c r="F8" s="20" t="s">
        <v>4</v>
      </c>
      <c r="G8" s="20" t="s">
        <v>5</v>
      </c>
      <c r="H8" s="20" t="s">
        <v>6</v>
      </c>
      <c r="I8" s="20" t="s">
        <v>7</v>
      </c>
      <c r="J8" s="2" t="s">
        <v>25</v>
      </c>
      <c r="K8" s="28" t="s">
        <v>44</v>
      </c>
    </row>
    <row r="9" spans="2:11" x14ac:dyDescent="0.5">
      <c r="B9" s="10" t="s">
        <v>223</v>
      </c>
      <c r="C9" s="4"/>
      <c r="D9" s="25">
        <v>0.55000000000000004</v>
      </c>
      <c r="E9" s="25">
        <v>0.78</v>
      </c>
      <c r="F9" s="25">
        <v>0.86</v>
      </c>
      <c r="G9" s="25">
        <v>0.9</v>
      </c>
      <c r="H9" s="25">
        <v>0.92</v>
      </c>
      <c r="I9" s="25">
        <v>0.94</v>
      </c>
      <c r="K9" s="29" t="s">
        <v>312</v>
      </c>
    </row>
    <row r="10" spans="2:11" x14ac:dyDescent="0.5">
      <c r="B10" s="10" t="s">
        <v>9</v>
      </c>
      <c r="C10" s="4"/>
      <c r="D10" s="25">
        <v>0.3</v>
      </c>
      <c r="E10" s="25">
        <v>0.39</v>
      </c>
      <c r="F10" s="25">
        <v>0.42</v>
      </c>
      <c r="G10" s="25">
        <v>0.45</v>
      </c>
      <c r="H10" s="25">
        <v>0.48</v>
      </c>
      <c r="I10" s="25">
        <v>0.5</v>
      </c>
      <c r="K10" s="29" t="s">
        <v>313</v>
      </c>
    </row>
    <row r="11" spans="2:11" x14ac:dyDescent="0.5">
      <c r="B11" s="10" t="s">
        <v>8</v>
      </c>
      <c r="C11" s="4"/>
      <c r="D11" s="25">
        <v>0.55000000000000004</v>
      </c>
      <c r="E11" s="25">
        <v>0.75</v>
      </c>
      <c r="F11" s="25">
        <v>0.8</v>
      </c>
      <c r="G11" s="25">
        <v>0.83</v>
      </c>
      <c r="H11" s="25">
        <v>0.86</v>
      </c>
      <c r="I11" s="25">
        <v>0.89</v>
      </c>
      <c r="K11" s="29" t="s">
        <v>314</v>
      </c>
    </row>
    <row r="12" spans="2:11" x14ac:dyDescent="0.5">
      <c r="B12" s="10" t="s">
        <v>246</v>
      </c>
      <c r="C12" s="4"/>
      <c r="D12" s="25">
        <v>0.8</v>
      </c>
      <c r="E12" s="25">
        <v>0.84</v>
      </c>
      <c r="F12" s="25">
        <v>0.86</v>
      </c>
      <c r="G12" s="25">
        <v>0.88</v>
      </c>
      <c r="H12" s="25">
        <v>0.89</v>
      </c>
      <c r="I12" s="25">
        <v>0.9</v>
      </c>
      <c r="K12" s="29" t="s">
        <v>315</v>
      </c>
    </row>
    <row r="14" spans="2:11" x14ac:dyDescent="0.5">
      <c r="B14" s="3" t="s">
        <v>338</v>
      </c>
      <c r="C14" s="4"/>
      <c r="D14" s="18"/>
      <c r="E14" s="19"/>
      <c r="F14" s="19"/>
      <c r="G14" s="19"/>
      <c r="H14" s="19"/>
      <c r="I14" s="19"/>
    </row>
    <row r="15" spans="2:11" x14ac:dyDescent="0.5">
      <c r="B15" s="7" t="s">
        <v>1</v>
      </c>
      <c r="C15" s="4" t="s">
        <v>25</v>
      </c>
      <c r="D15" s="20" t="s">
        <v>2</v>
      </c>
      <c r="E15" s="20" t="s">
        <v>3</v>
      </c>
      <c r="F15" s="20" t="s">
        <v>4</v>
      </c>
      <c r="G15" s="20" t="s">
        <v>5</v>
      </c>
      <c r="H15" s="20" t="s">
        <v>6</v>
      </c>
      <c r="I15" s="20" t="s">
        <v>7</v>
      </c>
    </row>
    <row r="16" spans="2:11" x14ac:dyDescent="0.5">
      <c r="B16" s="10" t="s">
        <v>223</v>
      </c>
      <c r="C16" s="4"/>
      <c r="D16" s="33">
        <f>'Sales Summary'!D7*(1-Assumptions!D9)</f>
        <v>0</v>
      </c>
      <c r="E16" s="33">
        <f>'Sales Summary'!E7*(1-Assumptions!E9)</f>
        <v>7.7880000000000005E-2</v>
      </c>
      <c r="F16" s="33">
        <f>'Sales Summary'!F7*(1-Assumptions!F9)</f>
        <v>0.52500000000000002</v>
      </c>
      <c r="G16" s="33">
        <f>'Sales Summary'!G7*(1-Assumptions!G9)</f>
        <v>1.2</v>
      </c>
      <c r="H16" s="33">
        <f>'Sales Summary'!H7*(1-Assumptions!H9)</f>
        <v>2.6399999999999988</v>
      </c>
      <c r="I16" s="33">
        <f>'Sales Summary'!I7*(1-Assumptions!I9)</f>
        <v>4.5000000000000036</v>
      </c>
    </row>
    <row r="17" spans="2:11" x14ac:dyDescent="0.5">
      <c r="B17" s="10" t="s">
        <v>9</v>
      </c>
      <c r="C17" s="4"/>
      <c r="D17" s="33">
        <f>'Sales Summary'!D8*(1-Assumptions!D10)</f>
        <v>0.26249999999999996</v>
      </c>
      <c r="E17" s="33">
        <f>'Sales Summary'!E8*(1-Assumptions!E10)</f>
        <v>0.88450000000000006</v>
      </c>
      <c r="F17" s="33">
        <f>'Sales Summary'!F8*(1-Assumptions!F10)</f>
        <v>2.3055000000000003</v>
      </c>
      <c r="G17" s="33">
        <f>'Sales Summary'!G8*(1-Assumptions!G10)</f>
        <v>4.95</v>
      </c>
      <c r="H17" s="33">
        <f>'Sales Summary'!H8*(1-Assumptions!H10)</f>
        <v>9.620000000000001</v>
      </c>
      <c r="I17" s="33">
        <f>'Sales Summary'!I8*(1-Assumptions!I10)</f>
        <v>16.75</v>
      </c>
    </row>
    <row r="18" spans="2:11" x14ac:dyDescent="0.5">
      <c r="B18" s="10" t="s">
        <v>8</v>
      </c>
      <c r="C18" s="4"/>
      <c r="D18" s="33">
        <f>'Sales Summary'!D9*(1-Assumptions!D11)</f>
        <v>2.5289999999999995</v>
      </c>
      <c r="E18" s="33">
        <f>'Sales Summary'!E9*(1-Assumptions!E11)</f>
        <v>9.8405000000000005</v>
      </c>
      <c r="F18" s="33">
        <f>'Sales Summary'!F9*(1-Assumptions!F11)</f>
        <v>27.000499999999995</v>
      </c>
      <c r="G18" s="33">
        <f>'Sales Summary'!G9*(1-Assumptions!G11)</f>
        <v>55.140350000000005</v>
      </c>
      <c r="H18" s="33">
        <f>'Sales Summary'!H9*(1-Assumptions!H11)</f>
        <v>92.686300000000017</v>
      </c>
      <c r="I18" s="33">
        <f>'Sales Summary'!I9*(1-Assumptions!I11)</f>
        <v>135.23949999999999</v>
      </c>
    </row>
    <row r="19" spans="2:11" x14ac:dyDescent="0.5">
      <c r="B19" s="10" t="s">
        <v>246</v>
      </c>
      <c r="C19" s="4"/>
      <c r="D19" s="33">
        <f>'Sales Summary'!D10*(1-Assumptions!D12)</f>
        <v>0</v>
      </c>
      <c r="E19" s="33">
        <f>'Sales Summary'!E10*(1-Assumptions!E12)</f>
        <v>0</v>
      </c>
      <c r="F19" s="33">
        <f>'Sales Summary'!F10*(1-Assumptions!F12)</f>
        <v>0.28000000000000003</v>
      </c>
      <c r="G19" s="33">
        <f>'Sales Summary'!G10*(1-Assumptions!G12)</f>
        <v>0.72</v>
      </c>
      <c r="H19" s="33">
        <f>'Sales Summary'!H10*(1-Assumptions!H12)</f>
        <v>1.9799999999999998</v>
      </c>
      <c r="I19" s="33">
        <f>'Sales Summary'!I10*(1-Assumptions!I12)</f>
        <v>4.9999999999999991</v>
      </c>
    </row>
    <row r="20" spans="2:11" x14ac:dyDescent="0.5">
      <c r="B20" s="40"/>
      <c r="C20" s="4"/>
      <c r="D20" s="41"/>
      <c r="E20" s="41"/>
      <c r="F20" s="41"/>
      <c r="G20" s="41"/>
      <c r="H20" s="41"/>
      <c r="I20" s="41"/>
    </row>
    <row r="21" spans="2:11" x14ac:dyDescent="0.5">
      <c r="B21" s="10" t="s">
        <v>40</v>
      </c>
      <c r="C21" s="4"/>
      <c r="D21" s="52">
        <f>SUM(D16:D19)</f>
        <v>2.7914999999999992</v>
      </c>
      <c r="E21" s="52">
        <f t="shared" ref="E21:I21" si="0">SUM(E16:E19)</f>
        <v>10.80288</v>
      </c>
      <c r="F21" s="52">
        <f t="shared" si="0"/>
        <v>30.110999999999997</v>
      </c>
      <c r="G21" s="52">
        <f t="shared" si="0"/>
        <v>62.010350000000003</v>
      </c>
      <c r="H21" s="52">
        <f t="shared" si="0"/>
        <v>106.92630000000003</v>
      </c>
      <c r="I21" s="52">
        <f t="shared" si="0"/>
        <v>161.48949999999999</v>
      </c>
    </row>
    <row r="22" spans="2:11" x14ac:dyDescent="0.5">
      <c r="B22" s="40"/>
      <c r="C22" s="4"/>
      <c r="D22" s="41"/>
      <c r="E22" s="41"/>
      <c r="F22" s="41"/>
      <c r="G22" s="41"/>
      <c r="H22" s="41"/>
      <c r="I22" s="41"/>
    </row>
    <row r="23" spans="2:11" x14ac:dyDescent="0.5">
      <c r="B23" s="3" t="s">
        <v>43</v>
      </c>
      <c r="C23" s="4"/>
      <c r="D23" s="18"/>
      <c r="E23" s="19"/>
      <c r="F23" s="19"/>
      <c r="G23" s="19"/>
      <c r="H23" s="19"/>
      <c r="I23" s="19"/>
      <c r="K23" s="27"/>
    </row>
    <row r="24" spans="2:11" x14ac:dyDescent="0.5">
      <c r="B24" s="7" t="s">
        <v>45</v>
      </c>
      <c r="C24" s="4" t="s">
        <v>25</v>
      </c>
      <c r="D24" s="20" t="s">
        <v>2</v>
      </c>
      <c r="E24" s="20" t="s">
        <v>3</v>
      </c>
      <c r="F24" s="20" t="s">
        <v>4</v>
      </c>
      <c r="G24" s="20" t="s">
        <v>5</v>
      </c>
      <c r="H24" s="20" t="s">
        <v>6</v>
      </c>
      <c r="I24" s="20" t="s">
        <v>7</v>
      </c>
      <c r="K24" s="28" t="s">
        <v>44</v>
      </c>
    </row>
    <row r="25" spans="2:11" x14ac:dyDescent="0.5">
      <c r="B25" s="10" t="s">
        <v>10</v>
      </c>
      <c r="C25" s="4"/>
      <c r="D25" s="25">
        <f>'P&amp;L'!K12</f>
        <v>0.28861637137935814</v>
      </c>
      <c r="E25" s="25">
        <f>'P&amp;L'!L12</f>
        <v>0.31377723071885827</v>
      </c>
      <c r="F25" s="25">
        <f>'P&amp;L'!M12</f>
        <v>0.29565000000000002</v>
      </c>
      <c r="G25" s="25">
        <f>'P&amp;L'!N12</f>
        <v>0.29749999999999999</v>
      </c>
      <c r="H25" s="25">
        <f>'P&amp;L'!O12</f>
        <v>0.28475000000000006</v>
      </c>
      <c r="I25" s="25">
        <f>'P&amp;L'!P12</f>
        <v>0.27224999999999999</v>
      </c>
      <c r="K25" s="29" t="s">
        <v>11</v>
      </c>
    </row>
    <row r="26" spans="2:11" x14ac:dyDescent="0.5">
      <c r="B26" s="10" t="s">
        <v>12</v>
      </c>
      <c r="C26" s="4"/>
      <c r="D26" s="25">
        <f>'P&amp;L'!K13</f>
        <v>0.22189410282222718</v>
      </c>
      <c r="E26" s="25">
        <f>'P&amp;L'!L13</f>
        <v>0.16115223071885826</v>
      </c>
      <c r="F26" s="25">
        <f>'P&amp;L'!M13</f>
        <v>0.16200000000000001</v>
      </c>
      <c r="G26" s="25">
        <f>'P&amp;L'!N13</f>
        <v>0.13999999999999999</v>
      </c>
      <c r="H26" s="25">
        <f>'P&amp;L'!O13</f>
        <v>0.11900000000000002</v>
      </c>
      <c r="I26" s="25">
        <f>'P&amp;L'!P13</f>
        <v>9.9000000000000019E-2</v>
      </c>
      <c r="K26" s="29" t="s">
        <v>13</v>
      </c>
    </row>
    <row r="27" spans="2:11" x14ac:dyDescent="0.5">
      <c r="B27" s="10" t="s">
        <v>14</v>
      </c>
      <c r="C27" s="4"/>
      <c r="D27" s="25">
        <f>'P&amp;L'!K15</f>
        <v>9.341117597998333E-2</v>
      </c>
      <c r="E27" s="25">
        <f>'P&amp;L'!L15</f>
        <v>0.14217825389884856</v>
      </c>
      <c r="F27" s="25">
        <f>'P&amp;L'!M15</f>
        <v>0.13867569052184281</v>
      </c>
      <c r="G27" s="25">
        <f>'P&amp;L'!N15</f>
        <v>0.13399991746239559</v>
      </c>
      <c r="H27" s="25">
        <f>'P&amp;L'!O15</f>
        <v>0.12907536214450241</v>
      </c>
      <c r="I27" s="25">
        <f>'P&amp;L'!P15</f>
        <v>0.12408100153463739</v>
      </c>
      <c r="K27" s="29"/>
    </row>
    <row r="28" spans="2:11" x14ac:dyDescent="0.5">
      <c r="B28" s="10" t="s">
        <v>15</v>
      </c>
      <c r="C28" s="4"/>
      <c r="D28" s="25">
        <f>'P&amp;L'!K16</f>
        <v>9.9999999999999992E-2</v>
      </c>
      <c r="E28" s="25">
        <f>'P&amp;L'!L16</f>
        <v>9.5000000000000015E-2</v>
      </c>
      <c r="F28" s="25">
        <f>'P&amp;L'!M16</f>
        <v>8.9999999999999983E-2</v>
      </c>
      <c r="G28" s="25">
        <f>'P&amp;L'!N16</f>
        <v>7.9999999999999988E-2</v>
      </c>
      <c r="H28" s="25">
        <f>'P&amp;L'!O16</f>
        <v>0.08</v>
      </c>
      <c r="I28" s="25">
        <f>'P&amp;L'!P16</f>
        <v>6.9999999999999993E-2</v>
      </c>
      <c r="K28" s="29"/>
    </row>
    <row r="29" spans="2:11" x14ac:dyDescent="0.5">
      <c r="B29" s="10" t="s">
        <v>16</v>
      </c>
      <c r="C29" s="4"/>
      <c r="D29" s="25">
        <f>'P&amp;L'!K21</f>
        <v>0.02</v>
      </c>
      <c r="E29" s="25">
        <f>'P&amp;L'!L21</f>
        <v>0.02</v>
      </c>
      <c r="F29" s="25">
        <f>'P&amp;L'!M21</f>
        <v>0.02</v>
      </c>
      <c r="G29" s="25">
        <f>'P&amp;L'!N21</f>
        <v>0.02</v>
      </c>
      <c r="H29" s="25">
        <f>'P&amp;L'!O21</f>
        <v>0.02</v>
      </c>
      <c r="I29" s="25">
        <f>'P&amp;L'!P21</f>
        <v>0.02</v>
      </c>
      <c r="K29" s="29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E0A9BF-AD0E-4B20-A395-BEB97B29D399}">
  <dimension ref="B2:AP34"/>
  <sheetViews>
    <sheetView showGridLines="0" zoomScaleNormal="100" workbookViewId="0"/>
  </sheetViews>
  <sheetFormatPr defaultRowHeight="17.399999999999999" x14ac:dyDescent="0.5"/>
  <cols>
    <col min="1" max="1" width="3.33203125" style="2" customWidth="1"/>
    <col min="2" max="2" width="39.44140625" style="2" bestFit="1" customWidth="1"/>
    <col min="3" max="3" width="8.33203125" style="2" bestFit="1" customWidth="1"/>
    <col min="4" max="4" width="12.6640625" style="2" bestFit="1" customWidth="1"/>
    <col min="5" max="5" width="16.109375" style="2" bestFit="1" customWidth="1"/>
    <col min="6" max="6" width="16.77734375" style="2" bestFit="1" customWidth="1"/>
    <col min="7" max="7" width="7.109375" style="2" bestFit="1" customWidth="1"/>
    <col min="8" max="8" width="1.5546875" style="2" bestFit="1" customWidth="1"/>
    <col min="9" max="9" width="9" style="2" bestFit="1" customWidth="1"/>
    <col min="10" max="14" width="8.21875" style="2" bestFit="1" customWidth="1"/>
    <col min="15" max="15" width="2.21875" style="2" bestFit="1" customWidth="1"/>
    <col min="16" max="20" width="8.21875" style="2" bestFit="1" customWidth="1"/>
    <col min="21" max="21" width="8.77734375" style="2" bestFit="1" customWidth="1"/>
    <col min="22" max="22" width="2.21875" style="2" bestFit="1" customWidth="1"/>
    <col min="23" max="28" width="11.21875" style="2" bestFit="1" customWidth="1"/>
    <col min="29" max="16384" width="8.88671875" style="2"/>
  </cols>
  <sheetData>
    <row r="2" spans="2:42" x14ac:dyDescent="0.5">
      <c r="B2" s="1" t="s">
        <v>17</v>
      </c>
    </row>
    <row r="3" spans="2:42" x14ac:dyDescent="0.5">
      <c r="B3" s="2" t="s">
        <v>18</v>
      </c>
    </row>
    <row r="4" spans="2:42" x14ac:dyDescent="0.5">
      <c r="B4" s="3"/>
      <c r="C4" s="4"/>
      <c r="D4" s="4"/>
      <c r="E4" s="4"/>
      <c r="F4" s="4"/>
      <c r="G4" s="4"/>
      <c r="H4" s="4"/>
      <c r="I4" s="5" t="s">
        <v>247</v>
      </c>
      <c r="J4" s="6"/>
      <c r="K4" s="6"/>
      <c r="L4" s="6"/>
      <c r="M4" s="6"/>
      <c r="N4" s="6"/>
      <c r="O4" s="6"/>
      <c r="P4" s="5" t="s">
        <v>20</v>
      </c>
      <c r="Q4" s="6"/>
      <c r="R4" s="6"/>
      <c r="S4" s="6"/>
      <c r="T4" s="6"/>
      <c r="U4" s="6"/>
      <c r="V4" s="6"/>
      <c r="W4" s="3" t="s">
        <v>41</v>
      </c>
      <c r="X4" s="4"/>
      <c r="Y4" s="4"/>
      <c r="Z4" s="4"/>
      <c r="AA4" s="4"/>
      <c r="AB4" s="4"/>
    </row>
    <row r="5" spans="2:42" x14ac:dyDescent="0.5">
      <c r="B5" s="7" t="s">
        <v>21</v>
      </c>
      <c r="C5" s="7" t="s">
        <v>22</v>
      </c>
      <c r="D5" s="7" t="s">
        <v>222</v>
      </c>
      <c r="E5" s="7" t="s">
        <v>259</v>
      </c>
      <c r="F5" s="7" t="s">
        <v>260</v>
      </c>
      <c r="G5" s="7" t="s">
        <v>24</v>
      </c>
      <c r="H5" s="4" t="s">
        <v>25</v>
      </c>
      <c r="I5" s="8" t="s">
        <v>2</v>
      </c>
      <c r="J5" s="8" t="s">
        <v>3</v>
      </c>
      <c r="K5" s="8" t="s">
        <v>4</v>
      </c>
      <c r="L5" s="8" t="s">
        <v>5</v>
      </c>
      <c r="M5" s="8" t="s">
        <v>6</v>
      </c>
      <c r="N5" s="8" t="s">
        <v>7</v>
      </c>
      <c r="O5" s="9" t="s">
        <v>25</v>
      </c>
      <c r="P5" s="8" t="s">
        <v>2</v>
      </c>
      <c r="Q5" s="8" t="s">
        <v>3</v>
      </c>
      <c r="R5" s="8" t="s">
        <v>4</v>
      </c>
      <c r="S5" s="8" t="s">
        <v>5</v>
      </c>
      <c r="T5" s="8" t="s">
        <v>6</v>
      </c>
      <c r="U5" s="8" t="s">
        <v>7</v>
      </c>
      <c r="V5" s="9" t="s">
        <v>25</v>
      </c>
      <c r="W5" s="8" t="s">
        <v>2</v>
      </c>
      <c r="X5" s="8" t="s">
        <v>3</v>
      </c>
      <c r="Y5" s="8" t="s">
        <v>4</v>
      </c>
      <c r="Z5" s="8" t="s">
        <v>5</v>
      </c>
      <c r="AA5" s="8" t="s">
        <v>6</v>
      </c>
      <c r="AB5" s="8" t="s">
        <v>7</v>
      </c>
    </row>
    <row r="6" spans="2:42" x14ac:dyDescent="0.5">
      <c r="B6" s="10" t="s">
        <v>264</v>
      </c>
      <c r="C6" s="10" t="s">
        <v>265</v>
      </c>
      <c r="D6" s="10" t="s">
        <v>223</v>
      </c>
      <c r="E6" s="10" t="s">
        <v>249</v>
      </c>
      <c r="F6" s="10" t="s">
        <v>250</v>
      </c>
      <c r="G6" s="10" t="s">
        <v>3</v>
      </c>
      <c r="H6" s="4"/>
      <c r="I6" s="15">
        <f>IFERROR(P6*W6,"")/10^7</f>
        <v>0</v>
      </c>
      <c r="J6" s="15">
        <f t="shared" ref="J6:J19" si="0">IFERROR(Q6*X6,"")/10^7</f>
        <v>5.3999999999999999E-2</v>
      </c>
      <c r="K6" s="15">
        <f t="shared" ref="K6:K19" si="1">IFERROR(R6*Y6,"")/10^7</f>
        <v>3.15</v>
      </c>
      <c r="L6" s="15">
        <f t="shared" ref="L6:L19" si="2">IFERROR(S6*Z6,"")/10^7</f>
        <v>10.8</v>
      </c>
      <c r="M6" s="15">
        <f t="shared" ref="M6:M19" si="3">IFERROR(T6*AA6,"")/10^7</f>
        <v>27</v>
      </c>
      <c r="N6" s="15">
        <f t="shared" ref="N6:N19" si="4">IFERROR(U6*AB6,"")/10^7</f>
        <v>54</v>
      </c>
      <c r="O6" s="6"/>
      <c r="P6" s="11">
        <v>0</v>
      </c>
      <c r="Q6" s="11">
        <v>30</v>
      </c>
      <c r="R6" s="11">
        <v>1750</v>
      </c>
      <c r="S6" s="11">
        <v>6000</v>
      </c>
      <c r="T6" s="11">
        <v>15000</v>
      </c>
      <c r="U6" s="11">
        <v>30000</v>
      </c>
      <c r="V6" s="6"/>
      <c r="W6" s="11">
        <v>18000</v>
      </c>
      <c r="X6" s="11">
        <v>18000</v>
      </c>
      <c r="Y6" s="11">
        <v>18000</v>
      </c>
      <c r="Z6" s="11">
        <v>18000</v>
      </c>
      <c r="AA6" s="11">
        <v>18000</v>
      </c>
      <c r="AB6" s="11">
        <v>18000</v>
      </c>
      <c r="AK6" s="68"/>
      <c r="AL6" s="68"/>
      <c r="AM6" s="68"/>
      <c r="AN6" s="68"/>
      <c r="AO6" s="68"/>
      <c r="AP6" s="68"/>
    </row>
    <row r="7" spans="2:42" x14ac:dyDescent="0.5">
      <c r="B7" s="10" t="s">
        <v>220</v>
      </c>
      <c r="C7" s="10" t="s">
        <v>224</v>
      </c>
      <c r="D7" s="10" t="s">
        <v>223</v>
      </c>
      <c r="E7" s="10" t="s">
        <v>249</v>
      </c>
      <c r="F7" s="10" t="s">
        <v>250</v>
      </c>
      <c r="G7" s="10" t="s">
        <v>3</v>
      </c>
      <c r="H7" s="4"/>
      <c r="I7" s="15">
        <f t="shared" ref="I7:I19" si="5">IFERROR(P7*W7,"")/10^7</f>
        <v>0</v>
      </c>
      <c r="J7" s="15">
        <f t="shared" si="0"/>
        <v>0.22500000000000001</v>
      </c>
      <c r="K7" s="15">
        <f t="shared" si="1"/>
        <v>0.45</v>
      </c>
      <c r="L7" s="15">
        <f t="shared" si="2"/>
        <v>0.9</v>
      </c>
      <c r="M7" s="15">
        <f t="shared" si="3"/>
        <v>4.5</v>
      </c>
      <c r="N7" s="15">
        <f t="shared" si="4"/>
        <v>13.5</v>
      </c>
      <c r="O7" s="6"/>
      <c r="P7" s="11">
        <v>0</v>
      </c>
      <c r="Q7" s="11">
        <v>50</v>
      </c>
      <c r="R7" s="11">
        <v>100</v>
      </c>
      <c r="S7" s="11">
        <v>200</v>
      </c>
      <c r="T7" s="11">
        <v>1000</v>
      </c>
      <c r="U7" s="11">
        <v>3000</v>
      </c>
      <c r="V7" s="6"/>
      <c r="W7" s="11">
        <v>45000</v>
      </c>
      <c r="X7" s="11">
        <v>45000</v>
      </c>
      <c r="Y7" s="11">
        <v>45000</v>
      </c>
      <c r="Z7" s="11">
        <v>45000</v>
      </c>
      <c r="AA7" s="11">
        <v>45000</v>
      </c>
      <c r="AB7" s="11">
        <v>45000</v>
      </c>
      <c r="AK7" s="68"/>
      <c r="AL7" s="68"/>
      <c r="AM7" s="68"/>
      <c r="AN7" s="68"/>
      <c r="AO7" s="68"/>
      <c r="AP7" s="68"/>
    </row>
    <row r="8" spans="2:42" x14ac:dyDescent="0.5">
      <c r="B8" s="10" t="s">
        <v>221</v>
      </c>
      <c r="C8" s="10" t="s">
        <v>225</v>
      </c>
      <c r="D8" s="10" t="s">
        <v>223</v>
      </c>
      <c r="E8" s="10" t="s">
        <v>249</v>
      </c>
      <c r="F8" s="10" t="s">
        <v>250</v>
      </c>
      <c r="G8" s="10" t="s">
        <v>3</v>
      </c>
      <c r="H8" s="4"/>
      <c r="I8" s="15">
        <f t="shared" si="5"/>
        <v>0</v>
      </c>
      <c r="J8" s="15">
        <f t="shared" si="0"/>
        <v>7.4999999999999997E-2</v>
      </c>
      <c r="K8" s="15">
        <f t="shared" si="1"/>
        <v>0.15</v>
      </c>
      <c r="L8" s="15">
        <f t="shared" si="2"/>
        <v>0.3</v>
      </c>
      <c r="M8" s="15">
        <f t="shared" si="3"/>
        <v>1.5</v>
      </c>
      <c r="N8" s="15">
        <f t="shared" si="4"/>
        <v>7.5</v>
      </c>
      <c r="O8" s="6"/>
      <c r="P8" s="11">
        <v>0</v>
      </c>
      <c r="Q8" s="11">
        <v>50</v>
      </c>
      <c r="R8" s="11">
        <v>100</v>
      </c>
      <c r="S8" s="11">
        <v>200</v>
      </c>
      <c r="T8" s="11">
        <v>1000</v>
      </c>
      <c r="U8" s="11">
        <v>5000</v>
      </c>
      <c r="V8" s="6"/>
      <c r="W8" s="11">
        <v>15000</v>
      </c>
      <c r="X8" s="11">
        <v>15000</v>
      </c>
      <c r="Y8" s="11">
        <v>15000</v>
      </c>
      <c r="Z8" s="11">
        <v>15000</v>
      </c>
      <c r="AA8" s="11">
        <v>15000</v>
      </c>
      <c r="AB8" s="11">
        <v>15000</v>
      </c>
      <c r="AK8" s="68"/>
      <c r="AL8" s="68"/>
      <c r="AM8" s="68"/>
      <c r="AN8" s="68"/>
      <c r="AO8" s="68"/>
      <c r="AP8" s="68"/>
    </row>
    <row r="9" spans="2:42" x14ac:dyDescent="0.5">
      <c r="B9" s="10" t="s">
        <v>226</v>
      </c>
      <c r="C9" s="10" t="s">
        <v>225</v>
      </c>
      <c r="D9" s="10" t="s">
        <v>9</v>
      </c>
      <c r="E9" s="10" t="s">
        <v>251</v>
      </c>
      <c r="F9" s="10" t="s">
        <v>252</v>
      </c>
      <c r="G9" s="10" t="s">
        <v>2</v>
      </c>
      <c r="H9" s="4"/>
      <c r="I9" s="15">
        <f t="shared" si="5"/>
        <v>7.4999999999999997E-2</v>
      </c>
      <c r="J9" s="15">
        <f t="shared" si="0"/>
        <v>0.3</v>
      </c>
      <c r="K9" s="15">
        <f t="shared" si="1"/>
        <v>0.875</v>
      </c>
      <c r="L9" s="15">
        <f t="shared" si="2"/>
        <v>2</v>
      </c>
      <c r="M9" s="15">
        <f t="shared" si="3"/>
        <v>4</v>
      </c>
      <c r="N9" s="15">
        <f t="shared" si="4"/>
        <v>7.5</v>
      </c>
      <c r="O9" s="6"/>
      <c r="P9" s="11">
        <v>30</v>
      </c>
      <c r="Q9" s="11">
        <v>120</v>
      </c>
      <c r="R9" s="11">
        <v>350</v>
      </c>
      <c r="S9" s="11">
        <v>800</v>
      </c>
      <c r="T9" s="11">
        <v>1600</v>
      </c>
      <c r="U9" s="11">
        <v>3000</v>
      </c>
      <c r="V9" s="6"/>
      <c r="W9" s="11">
        <v>25000</v>
      </c>
      <c r="X9" s="11">
        <v>25000</v>
      </c>
      <c r="Y9" s="11">
        <v>25000</v>
      </c>
      <c r="Z9" s="11">
        <v>25000</v>
      </c>
      <c r="AA9" s="11">
        <v>25000</v>
      </c>
      <c r="AB9" s="11">
        <v>25000</v>
      </c>
      <c r="AK9" s="68"/>
      <c r="AL9" s="68"/>
      <c r="AM9" s="68"/>
      <c r="AN9" s="68"/>
      <c r="AO9" s="68"/>
      <c r="AP9" s="68"/>
    </row>
    <row r="10" spans="2:42" x14ac:dyDescent="0.5">
      <c r="B10" s="10" t="s">
        <v>227</v>
      </c>
      <c r="C10" s="10" t="s">
        <v>28</v>
      </c>
      <c r="D10" s="10" t="s">
        <v>9</v>
      </c>
      <c r="E10" s="10" t="s">
        <v>251</v>
      </c>
      <c r="F10" s="10" t="s">
        <v>252</v>
      </c>
      <c r="G10" s="10" t="s">
        <v>2</v>
      </c>
      <c r="H10" s="4"/>
      <c r="I10" s="15">
        <f t="shared" si="5"/>
        <v>0.2</v>
      </c>
      <c r="J10" s="15">
        <f t="shared" si="0"/>
        <v>0.75</v>
      </c>
      <c r="K10" s="15">
        <f t="shared" si="1"/>
        <v>2</v>
      </c>
      <c r="L10" s="15">
        <f t="shared" si="2"/>
        <v>4.5</v>
      </c>
      <c r="M10" s="15">
        <f t="shared" si="3"/>
        <v>9</v>
      </c>
      <c r="N10" s="15">
        <f t="shared" si="4"/>
        <v>16</v>
      </c>
      <c r="O10" s="6"/>
      <c r="P10" s="11">
        <v>40</v>
      </c>
      <c r="Q10" s="11">
        <v>150</v>
      </c>
      <c r="R10" s="11">
        <v>400</v>
      </c>
      <c r="S10" s="11">
        <v>900</v>
      </c>
      <c r="T10" s="11">
        <v>1800</v>
      </c>
      <c r="U10" s="11">
        <v>3200</v>
      </c>
      <c r="V10" s="6"/>
      <c r="W10" s="11">
        <v>50000</v>
      </c>
      <c r="X10" s="11">
        <v>50000</v>
      </c>
      <c r="Y10" s="11">
        <v>50000</v>
      </c>
      <c r="Z10" s="11">
        <v>50000</v>
      </c>
      <c r="AA10" s="11">
        <v>50000</v>
      </c>
      <c r="AB10" s="11">
        <v>50000</v>
      </c>
      <c r="AK10" s="68"/>
      <c r="AL10" s="68"/>
      <c r="AM10" s="68"/>
      <c r="AN10" s="68"/>
      <c r="AO10" s="68"/>
      <c r="AP10" s="68"/>
    </row>
    <row r="11" spans="2:42" x14ac:dyDescent="0.5">
      <c r="B11" s="10" t="s">
        <v>228</v>
      </c>
      <c r="C11" s="10" t="s">
        <v>27</v>
      </c>
      <c r="D11" s="10" t="s">
        <v>9</v>
      </c>
      <c r="E11" s="10" t="s">
        <v>251</v>
      </c>
      <c r="F11" s="10" t="s">
        <v>252</v>
      </c>
      <c r="G11" s="10" t="s">
        <v>2</v>
      </c>
      <c r="H11" s="4"/>
      <c r="I11" s="15">
        <f t="shared" si="5"/>
        <v>0.1</v>
      </c>
      <c r="J11" s="15">
        <f t="shared" si="0"/>
        <v>0.4</v>
      </c>
      <c r="K11" s="15">
        <f t="shared" si="1"/>
        <v>1.1000000000000001</v>
      </c>
      <c r="L11" s="15">
        <f t="shared" si="2"/>
        <v>2.5</v>
      </c>
      <c r="M11" s="15">
        <f t="shared" si="3"/>
        <v>5.5</v>
      </c>
      <c r="N11" s="15">
        <f t="shared" si="4"/>
        <v>10</v>
      </c>
      <c r="O11" s="6"/>
      <c r="P11" s="11">
        <v>200</v>
      </c>
      <c r="Q11" s="11">
        <v>800</v>
      </c>
      <c r="R11" s="11">
        <v>2200</v>
      </c>
      <c r="S11" s="11">
        <v>5000</v>
      </c>
      <c r="T11" s="11">
        <v>11000</v>
      </c>
      <c r="U11" s="11">
        <v>20000</v>
      </c>
      <c r="V11" s="6"/>
      <c r="W11" s="11">
        <v>5000</v>
      </c>
      <c r="X11" s="11">
        <v>5000</v>
      </c>
      <c r="Y11" s="11">
        <v>5000</v>
      </c>
      <c r="Z11" s="11">
        <v>5000</v>
      </c>
      <c r="AA11" s="11">
        <v>5000</v>
      </c>
      <c r="AB11" s="11">
        <v>5000</v>
      </c>
      <c r="AK11" s="68"/>
      <c r="AL11" s="68"/>
      <c r="AM11" s="68"/>
      <c r="AN11" s="68"/>
      <c r="AO11" s="68"/>
      <c r="AP11" s="68"/>
    </row>
    <row r="12" spans="2:42" x14ac:dyDescent="0.5">
      <c r="B12" s="10" t="s">
        <v>229</v>
      </c>
      <c r="C12" s="10" t="s">
        <v>26</v>
      </c>
      <c r="D12" s="10" t="s">
        <v>8</v>
      </c>
      <c r="E12" s="10" t="s">
        <v>253</v>
      </c>
      <c r="F12" s="10" t="s">
        <v>252</v>
      </c>
      <c r="G12" s="10" t="s">
        <v>2</v>
      </c>
      <c r="H12" s="4"/>
      <c r="I12" s="15">
        <f t="shared" si="5"/>
        <v>0.08</v>
      </c>
      <c r="J12" s="15">
        <f t="shared" si="0"/>
        <v>0.2</v>
      </c>
      <c r="K12" s="15">
        <f t="shared" si="1"/>
        <v>4</v>
      </c>
      <c r="L12" s="15">
        <f t="shared" si="2"/>
        <v>10</v>
      </c>
      <c r="M12" s="15">
        <f t="shared" si="3"/>
        <v>22</v>
      </c>
      <c r="N12" s="15">
        <f t="shared" si="4"/>
        <v>42</v>
      </c>
      <c r="O12" s="6"/>
      <c r="P12" s="11">
        <v>8</v>
      </c>
      <c r="Q12" s="11">
        <v>20</v>
      </c>
      <c r="R12" s="11">
        <v>400</v>
      </c>
      <c r="S12" s="11">
        <v>1000</v>
      </c>
      <c r="T12" s="11">
        <v>2200</v>
      </c>
      <c r="U12" s="11">
        <v>4200</v>
      </c>
      <c r="V12" s="6"/>
      <c r="W12" s="11">
        <v>100000</v>
      </c>
      <c r="X12" s="11">
        <v>100000</v>
      </c>
      <c r="Y12" s="11">
        <v>100000</v>
      </c>
      <c r="Z12" s="11">
        <v>100000</v>
      </c>
      <c r="AA12" s="11">
        <v>100000</v>
      </c>
      <c r="AB12" s="11">
        <v>100000</v>
      </c>
      <c r="AK12" s="68"/>
      <c r="AL12" s="68"/>
      <c r="AM12" s="68"/>
      <c r="AN12" s="68"/>
      <c r="AO12" s="68"/>
      <c r="AP12" s="68"/>
    </row>
    <row r="13" spans="2:42" x14ac:dyDescent="0.5">
      <c r="B13" s="10" t="s">
        <v>230</v>
      </c>
      <c r="C13" s="10" t="s">
        <v>26</v>
      </c>
      <c r="D13" s="10" t="s">
        <v>8</v>
      </c>
      <c r="E13" s="10" t="s">
        <v>254</v>
      </c>
      <c r="F13" s="10" t="s">
        <v>252</v>
      </c>
      <c r="G13" s="10" t="s">
        <v>2</v>
      </c>
      <c r="H13" s="4"/>
      <c r="I13" s="15">
        <f t="shared" si="5"/>
        <v>0.05</v>
      </c>
      <c r="J13" s="15">
        <f t="shared" si="0"/>
        <v>11</v>
      </c>
      <c r="K13" s="15">
        <f t="shared" si="1"/>
        <v>40</v>
      </c>
      <c r="L13" s="15">
        <f t="shared" si="2"/>
        <v>90</v>
      </c>
      <c r="M13" s="15">
        <f t="shared" si="3"/>
        <v>170</v>
      </c>
      <c r="N13" s="15">
        <f t="shared" si="4"/>
        <v>270</v>
      </c>
      <c r="O13" s="6"/>
      <c r="P13" s="11">
        <v>10</v>
      </c>
      <c r="Q13" s="11">
        <v>2200</v>
      </c>
      <c r="R13" s="11">
        <v>8000</v>
      </c>
      <c r="S13" s="11">
        <v>18000</v>
      </c>
      <c r="T13" s="11">
        <v>34000</v>
      </c>
      <c r="U13" s="11">
        <v>54000</v>
      </c>
      <c r="V13" s="6"/>
      <c r="W13" s="11">
        <v>50000</v>
      </c>
      <c r="X13" s="11">
        <v>50000</v>
      </c>
      <c r="Y13" s="11">
        <v>50000</v>
      </c>
      <c r="Z13" s="11">
        <v>50000</v>
      </c>
      <c r="AA13" s="11">
        <v>50000</v>
      </c>
      <c r="AB13" s="11">
        <v>50000</v>
      </c>
      <c r="AK13" s="68"/>
      <c r="AL13" s="68"/>
      <c r="AM13" s="68"/>
      <c r="AN13" s="68"/>
      <c r="AO13" s="68"/>
      <c r="AP13" s="68"/>
    </row>
    <row r="14" spans="2:42" x14ac:dyDescent="0.5">
      <c r="B14" s="10" t="s">
        <v>261</v>
      </c>
      <c r="C14" s="10" t="s">
        <v>26</v>
      </c>
      <c r="D14" s="10" t="s">
        <v>8</v>
      </c>
      <c r="E14" s="10" t="s">
        <v>254</v>
      </c>
      <c r="F14" s="10" t="s">
        <v>252</v>
      </c>
      <c r="G14" s="10" t="s">
        <v>2</v>
      </c>
      <c r="H14" s="4"/>
      <c r="I14" s="15">
        <f t="shared" si="5"/>
        <v>2.5</v>
      </c>
      <c r="J14" s="15">
        <f t="shared" si="0"/>
        <v>6.25</v>
      </c>
      <c r="K14" s="15">
        <f t="shared" si="1"/>
        <v>35</v>
      </c>
      <c r="L14" s="15">
        <f t="shared" si="2"/>
        <v>100</v>
      </c>
      <c r="M14" s="15">
        <f t="shared" si="3"/>
        <v>225</v>
      </c>
      <c r="N14" s="15">
        <f t="shared" si="4"/>
        <v>450</v>
      </c>
      <c r="O14" s="6"/>
      <c r="P14" s="11">
        <v>100</v>
      </c>
      <c r="Q14" s="11">
        <v>250</v>
      </c>
      <c r="R14" s="11">
        <v>1400</v>
      </c>
      <c r="S14" s="11">
        <v>4000</v>
      </c>
      <c r="T14" s="11">
        <v>9000</v>
      </c>
      <c r="U14" s="11">
        <v>18000</v>
      </c>
      <c r="V14" s="6"/>
      <c r="W14" s="11">
        <v>250000</v>
      </c>
      <c r="X14" s="11">
        <v>250000</v>
      </c>
      <c r="Y14" s="11">
        <v>250000</v>
      </c>
      <c r="Z14" s="11">
        <v>250000</v>
      </c>
      <c r="AA14" s="11">
        <v>250000</v>
      </c>
      <c r="AB14" s="11">
        <v>250000</v>
      </c>
      <c r="AK14" s="68"/>
      <c r="AL14" s="68"/>
      <c r="AM14" s="68"/>
      <c r="AN14" s="68"/>
      <c r="AO14" s="68"/>
      <c r="AP14" s="68"/>
    </row>
    <row r="15" spans="2:42" x14ac:dyDescent="0.5">
      <c r="B15" s="10" t="s">
        <v>231</v>
      </c>
      <c r="C15" s="10" t="s">
        <v>26</v>
      </c>
      <c r="D15" s="10" t="s">
        <v>8</v>
      </c>
      <c r="E15" s="10" t="s">
        <v>254</v>
      </c>
      <c r="F15" s="10" t="s">
        <v>255</v>
      </c>
      <c r="G15" s="10" t="s">
        <v>3</v>
      </c>
      <c r="H15" s="4"/>
      <c r="I15" s="15">
        <f t="shared" si="5"/>
        <v>0</v>
      </c>
      <c r="J15" s="15">
        <f t="shared" si="0"/>
        <v>3.3</v>
      </c>
      <c r="K15" s="15">
        <f t="shared" si="1"/>
        <v>6.6</v>
      </c>
      <c r="L15" s="15">
        <f t="shared" si="2"/>
        <v>16.5</v>
      </c>
      <c r="M15" s="15">
        <f t="shared" si="3"/>
        <v>33</v>
      </c>
      <c r="N15" s="15">
        <f t="shared" si="4"/>
        <v>66</v>
      </c>
      <c r="O15" s="6"/>
      <c r="P15" s="11">
        <v>0</v>
      </c>
      <c r="Q15" s="11">
        <v>5</v>
      </c>
      <c r="R15" s="11">
        <v>10</v>
      </c>
      <c r="S15" s="11">
        <v>25</v>
      </c>
      <c r="T15" s="11">
        <v>50</v>
      </c>
      <c r="U15" s="11">
        <v>100</v>
      </c>
      <c r="V15" s="6"/>
      <c r="W15" s="11">
        <v>6600000</v>
      </c>
      <c r="X15" s="11">
        <v>6600000</v>
      </c>
      <c r="Y15" s="11">
        <v>6600000</v>
      </c>
      <c r="Z15" s="11">
        <v>6600000</v>
      </c>
      <c r="AA15" s="11">
        <v>6600000</v>
      </c>
      <c r="AB15" s="11">
        <v>6600000</v>
      </c>
      <c r="AK15" s="68"/>
      <c r="AL15" s="68"/>
      <c r="AM15" s="68"/>
      <c r="AN15" s="68"/>
      <c r="AO15" s="68"/>
      <c r="AP15" s="68"/>
    </row>
    <row r="16" spans="2:42" x14ac:dyDescent="0.5">
      <c r="B16" s="69" t="s">
        <v>262</v>
      </c>
      <c r="C16" s="10" t="s">
        <v>26</v>
      </c>
      <c r="D16" s="10" t="s">
        <v>8</v>
      </c>
      <c r="E16" s="10" t="s">
        <v>253</v>
      </c>
      <c r="F16" s="10" t="s">
        <v>252</v>
      </c>
      <c r="G16" s="10" t="s">
        <v>2</v>
      </c>
      <c r="H16" s="4"/>
      <c r="I16" s="15">
        <f t="shared" si="5"/>
        <v>0.06</v>
      </c>
      <c r="J16" s="15">
        <f t="shared" si="0"/>
        <v>0.6</v>
      </c>
      <c r="K16" s="15">
        <f t="shared" si="1"/>
        <v>1.5</v>
      </c>
      <c r="L16" s="15">
        <f t="shared" si="2"/>
        <v>3</v>
      </c>
      <c r="M16" s="15">
        <f t="shared" si="3"/>
        <v>6</v>
      </c>
      <c r="N16" s="15">
        <f t="shared" si="4"/>
        <v>12</v>
      </c>
      <c r="O16" s="6"/>
      <c r="P16" s="11">
        <v>1</v>
      </c>
      <c r="Q16" s="11">
        <v>10</v>
      </c>
      <c r="R16" s="11">
        <v>25</v>
      </c>
      <c r="S16" s="11">
        <v>50</v>
      </c>
      <c r="T16" s="11">
        <v>100</v>
      </c>
      <c r="U16" s="11">
        <v>200</v>
      </c>
      <c r="V16" s="6"/>
      <c r="W16" s="11">
        <v>600000</v>
      </c>
      <c r="X16" s="11">
        <v>600000</v>
      </c>
      <c r="Y16" s="11">
        <v>600000</v>
      </c>
      <c r="Z16" s="11">
        <v>600000</v>
      </c>
      <c r="AA16" s="11">
        <v>600000</v>
      </c>
      <c r="AB16" s="11">
        <v>600000</v>
      </c>
      <c r="AK16" s="68"/>
      <c r="AL16" s="68"/>
      <c r="AM16" s="68"/>
      <c r="AN16" s="68"/>
      <c r="AO16" s="68"/>
      <c r="AP16" s="68"/>
    </row>
    <row r="17" spans="2:42" x14ac:dyDescent="0.5">
      <c r="B17" s="10" t="s">
        <v>232</v>
      </c>
      <c r="C17" s="10" t="s">
        <v>26</v>
      </c>
      <c r="D17" s="10" t="s">
        <v>8</v>
      </c>
      <c r="E17" s="10" t="s">
        <v>254</v>
      </c>
      <c r="F17" s="10" t="s">
        <v>252</v>
      </c>
      <c r="G17" s="10" t="s">
        <v>3</v>
      </c>
      <c r="H17" s="4"/>
      <c r="I17" s="15">
        <f t="shared" si="5"/>
        <v>0</v>
      </c>
      <c r="J17" s="15">
        <f t="shared" si="0"/>
        <v>0.90600000000000003</v>
      </c>
      <c r="K17" s="15">
        <f t="shared" si="1"/>
        <v>2.2650000000000001</v>
      </c>
      <c r="L17" s="15">
        <f t="shared" si="2"/>
        <v>4.53</v>
      </c>
      <c r="M17" s="15">
        <f t="shared" si="3"/>
        <v>6.7949999999999999</v>
      </c>
      <c r="N17" s="15">
        <f t="shared" si="4"/>
        <v>22.65</v>
      </c>
      <c r="O17" s="6"/>
      <c r="P17" s="11">
        <v>0</v>
      </c>
      <c r="Q17" s="11">
        <v>2</v>
      </c>
      <c r="R17" s="11">
        <v>5</v>
      </c>
      <c r="S17" s="11">
        <v>10</v>
      </c>
      <c r="T17" s="11">
        <v>15</v>
      </c>
      <c r="U17" s="11">
        <v>50</v>
      </c>
      <c r="V17" s="6"/>
      <c r="W17" s="11">
        <v>4530000</v>
      </c>
      <c r="X17" s="11">
        <v>4530000</v>
      </c>
      <c r="Y17" s="11">
        <v>4530000</v>
      </c>
      <c r="Z17" s="11">
        <v>4530000</v>
      </c>
      <c r="AA17" s="11">
        <v>4530000</v>
      </c>
      <c r="AB17" s="11">
        <v>4530000</v>
      </c>
      <c r="AK17" s="68"/>
      <c r="AL17" s="68"/>
      <c r="AM17" s="68"/>
      <c r="AN17" s="68"/>
      <c r="AO17" s="68"/>
      <c r="AP17" s="68"/>
    </row>
    <row r="18" spans="2:42" x14ac:dyDescent="0.5">
      <c r="B18" s="10" t="s">
        <v>233</v>
      </c>
      <c r="C18" s="10" t="s">
        <v>26</v>
      </c>
      <c r="D18" s="10" t="s">
        <v>8</v>
      </c>
      <c r="E18" s="10" t="s">
        <v>254</v>
      </c>
      <c r="F18" s="10" t="s">
        <v>252</v>
      </c>
      <c r="G18" s="10" t="s">
        <v>3</v>
      </c>
      <c r="H18" s="4"/>
      <c r="I18" s="15">
        <f t="shared" si="5"/>
        <v>0</v>
      </c>
      <c r="J18" s="15">
        <f t="shared" si="0"/>
        <v>3.5</v>
      </c>
      <c r="K18" s="15">
        <f t="shared" si="1"/>
        <v>10.5</v>
      </c>
      <c r="L18" s="15">
        <f t="shared" si="2"/>
        <v>28</v>
      </c>
      <c r="M18" s="15">
        <f t="shared" si="3"/>
        <v>52.5</v>
      </c>
      <c r="N18" s="15">
        <f t="shared" si="4"/>
        <v>105</v>
      </c>
      <c r="O18" s="6"/>
      <c r="P18" s="11">
        <v>0</v>
      </c>
      <c r="Q18" s="11">
        <v>1</v>
      </c>
      <c r="R18" s="11">
        <v>3</v>
      </c>
      <c r="S18" s="11">
        <v>8</v>
      </c>
      <c r="T18" s="11">
        <v>15</v>
      </c>
      <c r="U18" s="11">
        <v>30</v>
      </c>
      <c r="V18" s="6"/>
      <c r="W18" s="11">
        <v>35000000</v>
      </c>
      <c r="X18" s="11">
        <v>35000000</v>
      </c>
      <c r="Y18" s="11">
        <v>35000000</v>
      </c>
      <c r="Z18" s="11">
        <v>35000000</v>
      </c>
      <c r="AA18" s="11">
        <v>35000000</v>
      </c>
      <c r="AB18" s="11">
        <v>35000000</v>
      </c>
      <c r="AK18" s="68"/>
      <c r="AL18" s="68"/>
      <c r="AM18" s="68"/>
      <c r="AN18" s="68"/>
      <c r="AO18" s="68"/>
      <c r="AP18" s="68"/>
    </row>
    <row r="19" spans="2:42" x14ac:dyDescent="0.5">
      <c r="B19" s="10" t="s">
        <v>234</v>
      </c>
      <c r="C19" s="10" t="s">
        <v>26</v>
      </c>
      <c r="D19" s="10" t="s">
        <v>8</v>
      </c>
      <c r="E19" s="10" t="s">
        <v>254</v>
      </c>
      <c r="F19" s="10" t="s">
        <v>252</v>
      </c>
      <c r="G19" s="10" t="s">
        <v>2</v>
      </c>
      <c r="H19" s="4"/>
      <c r="I19" s="15">
        <f t="shared" si="5"/>
        <v>0.75</v>
      </c>
      <c r="J19" s="15">
        <f t="shared" si="0"/>
        <v>1.5</v>
      </c>
      <c r="K19" s="15">
        <f t="shared" si="1"/>
        <v>3.75</v>
      </c>
      <c r="L19" s="15">
        <f t="shared" si="2"/>
        <v>7.5</v>
      </c>
      <c r="M19" s="15">
        <f t="shared" si="3"/>
        <v>18.75</v>
      </c>
      <c r="N19" s="15">
        <f t="shared" si="4"/>
        <v>37.5</v>
      </c>
      <c r="O19" s="6"/>
      <c r="P19" s="11">
        <v>1</v>
      </c>
      <c r="Q19" s="11">
        <v>2</v>
      </c>
      <c r="R19" s="11">
        <v>5</v>
      </c>
      <c r="S19" s="11">
        <v>10</v>
      </c>
      <c r="T19" s="11">
        <v>25</v>
      </c>
      <c r="U19" s="11">
        <v>50</v>
      </c>
      <c r="V19" s="6"/>
      <c r="W19" s="11">
        <v>7500000</v>
      </c>
      <c r="X19" s="11">
        <v>7500000</v>
      </c>
      <c r="Y19" s="11">
        <v>7500000</v>
      </c>
      <c r="Z19" s="11">
        <v>7500000</v>
      </c>
      <c r="AA19" s="11">
        <v>7500000</v>
      </c>
      <c r="AB19" s="11">
        <v>7500000</v>
      </c>
      <c r="AK19" s="68"/>
      <c r="AL19" s="68"/>
      <c r="AM19" s="68"/>
      <c r="AN19" s="68"/>
      <c r="AO19" s="68"/>
      <c r="AP19" s="68"/>
    </row>
    <row r="20" spans="2:42" x14ac:dyDescent="0.5">
      <c r="B20" s="10" t="s">
        <v>235</v>
      </c>
      <c r="C20" s="10" t="s">
        <v>30</v>
      </c>
      <c r="D20" s="10" t="s">
        <v>8</v>
      </c>
      <c r="E20" s="10" t="s">
        <v>253</v>
      </c>
      <c r="F20" s="10" t="s">
        <v>252</v>
      </c>
      <c r="G20" s="10" t="s">
        <v>2</v>
      </c>
      <c r="H20" s="4"/>
      <c r="I20" s="15">
        <f t="shared" ref="I20:I31" si="6">IFERROR(P20*W20,"")/10^7</f>
        <v>0.3</v>
      </c>
      <c r="J20" s="15">
        <f t="shared" ref="J20:J31" si="7">IFERROR(Q20*X20,"")/10^7</f>
        <v>0.6</v>
      </c>
      <c r="K20" s="15">
        <f t="shared" ref="K20:K31" si="8">IFERROR(R20*Y20,"")/10^7</f>
        <v>3</v>
      </c>
      <c r="L20" s="15">
        <f t="shared" ref="L20:L31" si="9">IFERROR(S20*Z20,"")/10^7</f>
        <v>6</v>
      </c>
      <c r="M20" s="15">
        <f t="shared" ref="M20:M31" si="10">IFERROR(T20*AA20,"")/10^7</f>
        <v>12</v>
      </c>
      <c r="N20" s="15">
        <f t="shared" ref="N20:N31" si="11">IFERROR(U20*AB20,"")/10^7</f>
        <v>18</v>
      </c>
      <c r="O20" s="6"/>
      <c r="P20" s="11">
        <v>1</v>
      </c>
      <c r="Q20" s="11">
        <v>2</v>
      </c>
      <c r="R20" s="11">
        <v>10</v>
      </c>
      <c r="S20" s="11">
        <v>20</v>
      </c>
      <c r="T20" s="11">
        <v>40</v>
      </c>
      <c r="U20" s="11">
        <v>60</v>
      </c>
      <c r="V20" s="6"/>
      <c r="W20" s="11">
        <v>3000000</v>
      </c>
      <c r="X20" s="11">
        <v>3000000</v>
      </c>
      <c r="Y20" s="11">
        <v>3000000</v>
      </c>
      <c r="Z20" s="11">
        <v>3000000</v>
      </c>
      <c r="AA20" s="11">
        <v>3000000</v>
      </c>
      <c r="AB20" s="11">
        <v>3000000</v>
      </c>
      <c r="AK20" s="68"/>
      <c r="AL20" s="68"/>
      <c r="AM20" s="68"/>
      <c r="AN20" s="68"/>
      <c r="AO20" s="68"/>
      <c r="AP20" s="68"/>
    </row>
    <row r="21" spans="2:42" x14ac:dyDescent="0.5">
      <c r="B21" s="10" t="s">
        <v>236</v>
      </c>
      <c r="C21" s="10" t="s">
        <v>30</v>
      </c>
      <c r="D21" s="10" t="s">
        <v>8</v>
      </c>
      <c r="E21" s="10" t="s">
        <v>253</v>
      </c>
      <c r="F21" s="10" t="s">
        <v>252</v>
      </c>
      <c r="G21" s="10" t="s">
        <v>2</v>
      </c>
      <c r="H21" s="4"/>
      <c r="I21" s="15">
        <f t="shared" si="6"/>
        <v>1.2</v>
      </c>
      <c r="J21" s="15">
        <f t="shared" si="7"/>
        <v>3</v>
      </c>
      <c r="K21" s="15">
        <f t="shared" si="8"/>
        <v>4.5999999999999996</v>
      </c>
      <c r="L21" s="15">
        <f t="shared" si="9"/>
        <v>9</v>
      </c>
      <c r="M21" s="15">
        <f t="shared" si="10"/>
        <v>17.600000000000001</v>
      </c>
      <c r="N21" s="15">
        <f t="shared" si="11"/>
        <v>30</v>
      </c>
      <c r="O21" s="6"/>
      <c r="P21" s="11">
        <v>6</v>
      </c>
      <c r="Q21" s="11">
        <v>15</v>
      </c>
      <c r="R21" s="11">
        <v>23</v>
      </c>
      <c r="S21" s="11">
        <v>45</v>
      </c>
      <c r="T21" s="11">
        <v>88</v>
      </c>
      <c r="U21" s="11">
        <v>150</v>
      </c>
      <c r="V21" s="6"/>
      <c r="W21" s="11">
        <v>2000000</v>
      </c>
      <c r="X21" s="11">
        <v>2000000</v>
      </c>
      <c r="Y21" s="11">
        <v>2000000</v>
      </c>
      <c r="Z21" s="11">
        <v>2000000</v>
      </c>
      <c r="AA21" s="11">
        <v>2000000</v>
      </c>
      <c r="AB21" s="11">
        <v>2000000</v>
      </c>
      <c r="AK21" s="68"/>
      <c r="AL21" s="68"/>
      <c r="AM21" s="68"/>
      <c r="AN21" s="68"/>
      <c r="AO21" s="68"/>
      <c r="AP21" s="68"/>
    </row>
    <row r="22" spans="2:42" x14ac:dyDescent="0.5">
      <c r="B22" s="10" t="s">
        <v>237</v>
      </c>
      <c r="C22" s="10" t="s">
        <v>26</v>
      </c>
      <c r="D22" s="10" t="s">
        <v>8</v>
      </c>
      <c r="E22" s="10" t="s">
        <v>253</v>
      </c>
      <c r="F22" s="10" t="s">
        <v>252</v>
      </c>
      <c r="G22" s="10" t="s">
        <v>2</v>
      </c>
      <c r="H22" s="4"/>
      <c r="I22" s="15">
        <f t="shared" si="6"/>
        <v>0.18</v>
      </c>
      <c r="J22" s="15">
        <f t="shared" si="7"/>
        <v>0.9</v>
      </c>
      <c r="K22" s="15">
        <f t="shared" si="8"/>
        <v>3</v>
      </c>
      <c r="L22" s="15">
        <f t="shared" si="9"/>
        <v>9</v>
      </c>
      <c r="M22" s="15">
        <f t="shared" si="10"/>
        <v>18</v>
      </c>
      <c r="N22" s="15">
        <f t="shared" si="11"/>
        <v>30</v>
      </c>
      <c r="O22" s="6"/>
      <c r="P22" s="11">
        <v>3</v>
      </c>
      <c r="Q22" s="11">
        <v>15</v>
      </c>
      <c r="R22" s="11">
        <v>50</v>
      </c>
      <c r="S22" s="11">
        <v>150</v>
      </c>
      <c r="T22" s="11">
        <v>300</v>
      </c>
      <c r="U22" s="11">
        <v>500</v>
      </c>
      <c r="V22" s="6"/>
      <c r="W22" s="11">
        <v>600000</v>
      </c>
      <c r="X22" s="11">
        <v>600000</v>
      </c>
      <c r="Y22" s="11">
        <v>600000</v>
      </c>
      <c r="Z22" s="11">
        <v>600000</v>
      </c>
      <c r="AA22" s="11">
        <v>600000</v>
      </c>
      <c r="AB22" s="11">
        <v>600000</v>
      </c>
      <c r="AK22" s="68"/>
      <c r="AL22" s="68"/>
      <c r="AM22" s="68"/>
      <c r="AN22" s="68"/>
      <c r="AO22" s="68"/>
      <c r="AP22" s="68"/>
    </row>
    <row r="23" spans="2:42" x14ac:dyDescent="0.5">
      <c r="B23" s="10" t="s">
        <v>238</v>
      </c>
      <c r="C23" s="10" t="s">
        <v>26</v>
      </c>
      <c r="D23" s="10" t="s">
        <v>8</v>
      </c>
      <c r="E23" s="10" t="s">
        <v>253</v>
      </c>
      <c r="F23" s="10" t="s">
        <v>252</v>
      </c>
      <c r="G23" s="10" t="s">
        <v>2</v>
      </c>
      <c r="H23" s="4"/>
      <c r="I23" s="15">
        <f t="shared" si="6"/>
        <v>0.08</v>
      </c>
      <c r="J23" s="15">
        <f t="shared" si="7"/>
        <v>0.24</v>
      </c>
      <c r="K23" s="15">
        <f t="shared" si="8"/>
        <v>1.2</v>
      </c>
      <c r="L23" s="15">
        <f t="shared" si="9"/>
        <v>2</v>
      </c>
      <c r="M23" s="15">
        <f t="shared" si="10"/>
        <v>4</v>
      </c>
      <c r="N23" s="15">
        <f t="shared" si="11"/>
        <v>6</v>
      </c>
      <c r="O23" s="6"/>
      <c r="P23" s="11">
        <v>1</v>
      </c>
      <c r="Q23" s="11">
        <v>3</v>
      </c>
      <c r="R23" s="11">
        <v>15</v>
      </c>
      <c r="S23" s="11">
        <v>25</v>
      </c>
      <c r="T23" s="11">
        <v>50</v>
      </c>
      <c r="U23" s="11">
        <v>75</v>
      </c>
      <c r="V23" s="6"/>
      <c r="W23" s="11">
        <v>800000</v>
      </c>
      <c r="X23" s="11">
        <v>800000</v>
      </c>
      <c r="Y23" s="11">
        <v>800000</v>
      </c>
      <c r="Z23" s="11">
        <v>800000</v>
      </c>
      <c r="AA23" s="11">
        <v>800000</v>
      </c>
      <c r="AB23" s="11">
        <v>800000</v>
      </c>
      <c r="AK23" s="68"/>
      <c r="AL23" s="68"/>
      <c r="AM23" s="68"/>
      <c r="AN23" s="68"/>
      <c r="AO23" s="68"/>
      <c r="AP23" s="68"/>
    </row>
    <row r="24" spans="2:42" x14ac:dyDescent="0.5">
      <c r="B24" s="10" t="s">
        <v>239</v>
      </c>
      <c r="C24" s="10" t="s">
        <v>26</v>
      </c>
      <c r="D24" s="10" t="s">
        <v>8</v>
      </c>
      <c r="E24" s="10" t="s">
        <v>253</v>
      </c>
      <c r="F24" s="10" t="s">
        <v>252</v>
      </c>
      <c r="G24" s="10" t="s">
        <v>2</v>
      </c>
      <c r="H24" s="4"/>
      <c r="I24" s="15">
        <f t="shared" si="6"/>
        <v>0.12</v>
      </c>
      <c r="J24" s="15">
        <f t="shared" si="7"/>
        <v>0.36</v>
      </c>
      <c r="K24" s="15">
        <f t="shared" si="8"/>
        <v>1.8</v>
      </c>
      <c r="L24" s="15">
        <f t="shared" si="9"/>
        <v>3</v>
      </c>
      <c r="M24" s="15">
        <f t="shared" si="10"/>
        <v>6</v>
      </c>
      <c r="N24" s="15">
        <f t="shared" si="11"/>
        <v>9</v>
      </c>
      <c r="O24" s="6"/>
      <c r="P24" s="11">
        <v>1</v>
      </c>
      <c r="Q24" s="11">
        <v>3</v>
      </c>
      <c r="R24" s="11">
        <v>15</v>
      </c>
      <c r="S24" s="11">
        <v>25</v>
      </c>
      <c r="T24" s="11">
        <v>50</v>
      </c>
      <c r="U24" s="11">
        <v>75</v>
      </c>
      <c r="V24" s="6"/>
      <c r="W24" s="11">
        <v>1200000</v>
      </c>
      <c r="X24" s="11">
        <v>1200000</v>
      </c>
      <c r="Y24" s="11">
        <v>1200000</v>
      </c>
      <c r="Z24" s="11">
        <v>1200000</v>
      </c>
      <c r="AA24" s="11">
        <v>1200000</v>
      </c>
      <c r="AB24" s="11">
        <v>1200000</v>
      </c>
      <c r="AK24" s="68"/>
      <c r="AL24" s="68"/>
      <c r="AM24" s="68"/>
      <c r="AN24" s="68"/>
      <c r="AO24" s="68"/>
      <c r="AP24" s="68"/>
    </row>
    <row r="25" spans="2:42" x14ac:dyDescent="0.5">
      <c r="B25" s="10" t="s">
        <v>240</v>
      </c>
      <c r="C25" s="10" t="s">
        <v>26</v>
      </c>
      <c r="D25" s="10" t="s">
        <v>8</v>
      </c>
      <c r="E25" s="10" t="s">
        <v>254</v>
      </c>
      <c r="F25" s="10" t="s">
        <v>252</v>
      </c>
      <c r="G25" s="10" t="s">
        <v>2</v>
      </c>
      <c r="H25" s="4"/>
      <c r="I25" s="15">
        <f t="shared" si="6"/>
        <v>0.2</v>
      </c>
      <c r="J25" s="15">
        <f t="shared" si="7"/>
        <v>0.6</v>
      </c>
      <c r="K25" s="15">
        <f t="shared" si="8"/>
        <v>3</v>
      </c>
      <c r="L25" s="15">
        <f t="shared" si="9"/>
        <v>5</v>
      </c>
      <c r="M25" s="15">
        <f t="shared" si="10"/>
        <v>10</v>
      </c>
      <c r="N25" s="15">
        <f t="shared" si="11"/>
        <v>15</v>
      </c>
      <c r="O25" s="6"/>
      <c r="P25" s="11">
        <v>1</v>
      </c>
      <c r="Q25" s="11">
        <v>3</v>
      </c>
      <c r="R25" s="11">
        <v>15</v>
      </c>
      <c r="S25" s="11">
        <v>25</v>
      </c>
      <c r="T25" s="11">
        <v>50</v>
      </c>
      <c r="U25" s="11">
        <v>75</v>
      </c>
      <c r="V25" s="6"/>
      <c r="W25" s="11">
        <v>2000000</v>
      </c>
      <c r="X25" s="11">
        <v>2000000</v>
      </c>
      <c r="Y25" s="11">
        <v>2000000</v>
      </c>
      <c r="Z25" s="11">
        <v>2000000</v>
      </c>
      <c r="AA25" s="11">
        <v>2000000</v>
      </c>
      <c r="AB25" s="11">
        <v>2000000</v>
      </c>
      <c r="AK25" s="68"/>
      <c r="AL25" s="68"/>
      <c r="AM25" s="68"/>
      <c r="AN25" s="68"/>
      <c r="AO25" s="68"/>
      <c r="AP25" s="68"/>
    </row>
    <row r="26" spans="2:42" x14ac:dyDescent="0.5">
      <c r="B26" s="10" t="s">
        <v>241</v>
      </c>
      <c r="C26" s="10" t="s">
        <v>26</v>
      </c>
      <c r="D26" s="10" t="s">
        <v>8</v>
      </c>
      <c r="E26" s="10" t="s">
        <v>253</v>
      </c>
      <c r="F26" s="10" t="s">
        <v>252</v>
      </c>
      <c r="G26" s="10" t="s">
        <v>2</v>
      </c>
      <c r="H26" s="4"/>
      <c r="I26" s="15">
        <f t="shared" si="6"/>
        <v>0.1</v>
      </c>
      <c r="J26" s="15">
        <f t="shared" si="7"/>
        <v>0.5</v>
      </c>
      <c r="K26" s="15">
        <f t="shared" si="8"/>
        <v>1</v>
      </c>
      <c r="L26" s="15">
        <f t="shared" si="9"/>
        <v>2</v>
      </c>
      <c r="M26" s="15">
        <f t="shared" si="10"/>
        <v>4</v>
      </c>
      <c r="N26" s="15">
        <f t="shared" si="11"/>
        <v>6</v>
      </c>
      <c r="O26" s="6"/>
      <c r="P26" s="11">
        <v>1</v>
      </c>
      <c r="Q26" s="11">
        <v>5</v>
      </c>
      <c r="R26" s="11">
        <v>10</v>
      </c>
      <c r="S26" s="11">
        <v>20</v>
      </c>
      <c r="T26" s="11">
        <v>40</v>
      </c>
      <c r="U26" s="11">
        <v>60</v>
      </c>
      <c r="V26" s="6"/>
      <c r="W26" s="11">
        <v>1000000</v>
      </c>
      <c r="X26" s="11">
        <v>1000000</v>
      </c>
      <c r="Y26" s="11">
        <v>1000000</v>
      </c>
      <c r="Z26" s="11">
        <v>1000000</v>
      </c>
      <c r="AA26" s="11">
        <v>1000000</v>
      </c>
      <c r="AB26" s="11">
        <v>1000000</v>
      </c>
      <c r="AK26" s="68"/>
      <c r="AL26" s="68"/>
      <c r="AM26" s="68"/>
      <c r="AN26" s="68"/>
      <c r="AO26" s="68"/>
      <c r="AP26" s="68"/>
    </row>
    <row r="27" spans="2:42" x14ac:dyDescent="0.5">
      <c r="B27" s="10" t="s">
        <v>242</v>
      </c>
      <c r="C27" s="10" t="s">
        <v>30</v>
      </c>
      <c r="D27" s="10" t="s">
        <v>8</v>
      </c>
      <c r="E27" s="10" t="s">
        <v>256</v>
      </c>
      <c r="F27" s="10" t="s">
        <v>252</v>
      </c>
      <c r="G27" s="10" t="s">
        <v>3</v>
      </c>
      <c r="H27" s="4"/>
      <c r="I27" s="15">
        <f t="shared" si="6"/>
        <v>0</v>
      </c>
      <c r="J27" s="15">
        <f t="shared" si="7"/>
        <v>0.25</v>
      </c>
      <c r="K27" s="15">
        <f t="shared" si="8"/>
        <v>2.5</v>
      </c>
      <c r="L27" s="15">
        <f t="shared" si="9"/>
        <v>6.25</v>
      </c>
      <c r="M27" s="15">
        <f t="shared" si="10"/>
        <v>11.25</v>
      </c>
      <c r="N27" s="15">
        <f t="shared" si="11"/>
        <v>20</v>
      </c>
      <c r="O27" s="6"/>
      <c r="P27" s="11">
        <v>0</v>
      </c>
      <c r="Q27" s="11">
        <v>5</v>
      </c>
      <c r="R27" s="11">
        <v>50</v>
      </c>
      <c r="S27" s="11">
        <v>125</v>
      </c>
      <c r="T27" s="11">
        <v>225</v>
      </c>
      <c r="U27" s="11">
        <v>400</v>
      </c>
      <c r="V27" s="6"/>
      <c r="W27" s="11">
        <v>500000</v>
      </c>
      <c r="X27" s="11">
        <v>500000</v>
      </c>
      <c r="Y27" s="11">
        <v>500000</v>
      </c>
      <c r="Z27" s="11">
        <v>500000</v>
      </c>
      <c r="AA27" s="11">
        <v>500000</v>
      </c>
      <c r="AB27" s="11">
        <v>500000</v>
      </c>
      <c r="AK27" s="68"/>
      <c r="AL27" s="68"/>
      <c r="AM27" s="68"/>
      <c r="AN27" s="68"/>
      <c r="AO27" s="68"/>
      <c r="AP27" s="68"/>
    </row>
    <row r="28" spans="2:42" x14ac:dyDescent="0.5">
      <c r="B28" s="10" t="s">
        <v>243</v>
      </c>
      <c r="C28" s="10" t="s">
        <v>26</v>
      </c>
      <c r="D28" s="10" t="s">
        <v>8</v>
      </c>
      <c r="E28" s="10" t="s">
        <v>256</v>
      </c>
      <c r="F28" s="10" t="s">
        <v>252</v>
      </c>
      <c r="G28" s="10" t="s">
        <v>3</v>
      </c>
      <c r="H28" s="4"/>
      <c r="I28" s="15">
        <f t="shared" si="6"/>
        <v>0</v>
      </c>
      <c r="J28" s="15">
        <f t="shared" si="7"/>
        <v>1.5980000000000001</v>
      </c>
      <c r="K28" s="15">
        <f t="shared" si="8"/>
        <v>3.1875</v>
      </c>
      <c r="L28" s="15">
        <f t="shared" si="9"/>
        <v>6.375</v>
      </c>
      <c r="M28" s="15">
        <f t="shared" si="10"/>
        <v>12.75</v>
      </c>
      <c r="N28" s="15">
        <f t="shared" si="11"/>
        <v>25.5</v>
      </c>
      <c r="O28" s="6"/>
      <c r="P28" s="11">
        <v>0</v>
      </c>
      <c r="Q28" s="11">
        <v>188</v>
      </c>
      <c r="R28" s="11">
        <v>375</v>
      </c>
      <c r="S28" s="11">
        <v>750</v>
      </c>
      <c r="T28" s="11">
        <v>1500</v>
      </c>
      <c r="U28" s="11">
        <v>3000</v>
      </c>
      <c r="V28" s="6"/>
      <c r="W28" s="11">
        <v>85000</v>
      </c>
      <c r="X28" s="11">
        <v>85000</v>
      </c>
      <c r="Y28" s="11">
        <v>85000</v>
      </c>
      <c r="Z28" s="11">
        <v>85000</v>
      </c>
      <c r="AA28" s="11">
        <v>85000</v>
      </c>
      <c r="AB28" s="11">
        <v>85000</v>
      </c>
      <c r="AK28" s="68"/>
      <c r="AL28" s="68"/>
      <c r="AM28" s="68"/>
      <c r="AN28" s="68"/>
      <c r="AO28" s="68"/>
      <c r="AP28" s="68"/>
    </row>
    <row r="29" spans="2:42" x14ac:dyDescent="0.5">
      <c r="B29" s="10" t="s">
        <v>244</v>
      </c>
      <c r="C29" s="10" t="s">
        <v>26</v>
      </c>
      <c r="D29" s="10" t="s">
        <v>8</v>
      </c>
      <c r="E29" s="10" t="s">
        <v>256</v>
      </c>
      <c r="F29" s="10" t="s">
        <v>252</v>
      </c>
      <c r="G29" s="10" t="s">
        <v>3</v>
      </c>
      <c r="H29" s="4"/>
      <c r="I29" s="15">
        <f t="shared" si="6"/>
        <v>0</v>
      </c>
      <c r="J29" s="15">
        <f t="shared" si="7"/>
        <v>1.8080000000000001</v>
      </c>
      <c r="K29" s="15">
        <f t="shared" si="8"/>
        <v>3.6</v>
      </c>
      <c r="L29" s="15">
        <f t="shared" si="9"/>
        <v>7.2</v>
      </c>
      <c r="M29" s="15">
        <f t="shared" si="10"/>
        <v>14.4</v>
      </c>
      <c r="N29" s="15">
        <f t="shared" si="11"/>
        <v>28.8</v>
      </c>
      <c r="O29" s="6"/>
      <c r="P29" s="11">
        <v>0</v>
      </c>
      <c r="Q29" s="11">
        <v>113</v>
      </c>
      <c r="R29" s="11">
        <v>225</v>
      </c>
      <c r="S29" s="11">
        <v>450</v>
      </c>
      <c r="T29" s="11">
        <v>900</v>
      </c>
      <c r="U29" s="11">
        <v>1800</v>
      </c>
      <c r="V29" s="6"/>
      <c r="W29" s="11">
        <v>160000</v>
      </c>
      <c r="X29" s="11">
        <v>160000</v>
      </c>
      <c r="Y29" s="11">
        <v>160000</v>
      </c>
      <c r="Z29" s="11">
        <v>160000</v>
      </c>
      <c r="AA29" s="11">
        <v>160000</v>
      </c>
      <c r="AB29" s="11">
        <v>160000</v>
      </c>
      <c r="AK29" s="68"/>
      <c r="AL29" s="68"/>
      <c r="AM29" s="68"/>
      <c r="AN29" s="68"/>
      <c r="AO29" s="68"/>
      <c r="AP29" s="68"/>
    </row>
    <row r="30" spans="2:42" x14ac:dyDescent="0.5">
      <c r="B30" s="10" t="s">
        <v>245</v>
      </c>
      <c r="C30" s="10" t="s">
        <v>26</v>
      </c>
      <c r="D30" s="10" t="s">
        <v>8</v>
      </c>
      <c r="E30" s="10" t="s">
        <v>256</v>
      </c>
      <c r="F30" s="10" t="s">
        <v>252</v>
      </c>
      <c r="G30" s="10" t="s">
        <v>3</v>
      </c>
      <c r="H30" s="4"/>
      <c r="I30" s="15">
        <f t="shared" si="6"/>
        <v>0</v>
      </c>
      <c r="J30" s="15">
        <f t="shared" si="7"/>
        <v>2.25</v>
      </c>
      <c r="K30" s="15">
        <f t="shared" si="8"/>
        <v>4.5</v>
      </c>
      <c r="L30" s="15">
        <f t="shared" si="9"/>
        <v>9</v>
      </c>
      <c r="M30" s="15">
        <f t="shared" si="10"/>
        <v>18</v>
      </c>
      <c r="N30" s="15">
        <f t="shared" si="11"/>
        <v>36</v>
      </c>
      <c r="O30" s="6"/>
      <c r="P30" s="11">
        <v>0</v>
      </c>
      <c r="Q30" s="11">
        <v>75</v>
      </c>
      <c r="R30" s="11">
        <v>150</v>
      </c>
      <c r="S30" s="11">
        <v>300</v>
      </c>
      <c r="T30" s="11">
        <v>600</v>
      </c>
      <c r="U30" s="11">
        <v>1200</v>
      </c>
      <c r="V30" s="6"/>
      <c r="W30" s="11">
        <v>300000</v>
      </c>
      <c r="X30" s="11">
        <v>300000</v>
      </c>
      <c r="Y30" s="11">
        <v>300000</v>
      </c>
      <c r="Z30" s="11">
        <v>300000</v>
      </c>
      <c r="AA30" s="11">
        <v>300000</v>
      </c>
      <c r="AB30" s="11">
        <v>300000</v>
      </c>
      <c r="AK30" s="68"/>
      <c r="AL30" s="68"/>
      <c r="AM30" s="68"/>
      <c r="AN30" s="68"/>
      <c r="AO30" s="68"/>
      <c r="AP30" s="68"/>
    </row>
    <row r="31" spans="2:42" x14ac:dyDescent="0.5">
      <c r="B31" s="10" t="s">
        <v>263</v>
      </c>
      <c r="C31" s="10" t="s">
        <v>28</v>
      </c>
      <c r="D31" s="10" t="s">
        <v>246</v>
      </c>
      <c r="E31" s="10" t="s">
        <v>257</v>
      </c>
      <c r="F31" s="10" t="s">
        <v>258</v>
      </c>
      <c r="G31" s="10" t="s">
        <v>4</v>
      </c>
      <c r="H31" s="4"/>
      <c r="I31" s="15">
        <f t="shared" si="6"/>
        <v>0</v>
      </c>
      <c r="J31" s="15">
        <f t="shared" si="7"/>
        <v>0</v>
      </c>
      <c r="K31" s="15">
        <f t="shared" si="8"/>
        <v>2</v>
      </c>
      <c r="L31" s="15">
        <f t="shared" si="9"/>
        <v>6</v>
      </c>
      <c r="M31" s="15">
        <f t="shared" si="10"/>
        <v>18</v>
      </c>
      <c r="N31" s="15">
        <f t="shared" si="11"/>
        <v>50</v>
      </c>
      <c r="O31" s="6"/>
      <c r="P31" s="11">
        <v>0</v>
      </c>
      <c r="Q31" s="11">
        <v>0</v>
      </c>
      <c r="R31" s="11">
        <v>2</v>
      </c>
      <c r="S31" s="11">
        <v>6</v>
      </c>
      <c r="T31" s="11">
        <v>18</v>
      </c>
      <c r="U31" s="11">
        <v>50</v>
      </c>
      <c r="V31" s="6"/>
      <c r="W31" s="11">
        <v>10000000</v>
      </c>
      <c r="X31" s="11">
        <v>10000000</v>
      </c>
      <c r="Y31" s="11">
        <v>10000000</v>
      </c>
      <c r="Z31" s="11">
        <v>10000000</v>
      </c>
      <c r="AA31" s="11">
        <v>10000000</v>
      </c>
      <c r="AB31" s="11">
        <v>10000000</v>
      </c>
      <c r="AK31" s="68"/>
      <c r="AL31" s="68"/>
      <c r="AM31" s="68"/>
      <c r="AN31" s="68"/>
      <c r="AO31" s="68"/>
      <c r="AP31" s="68"/>
    </row>
    <row r="32" spans="2:42" x14ac:dyDescent="0.5">
      <c r="B32" s="10"/>
      <c r="C32" s="10"/>
      <c r="D32" s="10"/>
      <c r="E32" s="10"/>
      <c r="F32" s="10"/>
      <c r="G32" s="10"/>
      <c r="H32" s="4"/>
      <c r="I32" s="15"/>
      <c r="J32" s="15"/>
      <c r="K32" s="15"/>
      <c r="L32" s="15"/>
      <c r="M32" s="15"/>
      <c r="N32" s="15"/>
      <c r="O32" s="6"/>
      <c r="P32" s="11"/>
      <c r="Q32" s="11"/>
      <c r="R32" s="11"/>
      <c r="S32" s="11"/>
      <c r="T32" s="11"/>
      <c r="U32" s="11"/>
      <c r="V32" s="6"/>
      <c r="W32" s="11"/>
      <c r="X32" s="11"/>
      <c r="Y32" s="11"/>
      <c r="Z32" s="11"/>
      <c r="AA32" s="11"/>
      <c r="AB32" s="11"/>
    </row>
    <row r="33" spans="2:28" x14ac:dyDescent="0.5">
      <c r="I33" s="16"/>
    </row>
    <row r="34" spans="2:28" x14ac:dyDescent="0.5">
      <c r="B34" s="12" t="s">
        <v>40</v>
      </c>
      <c r="I34" s="17">
        <f>SUBTOTAL(9,I6:I32)</f>
        <v>5.9950000000000001</v>
      </c>
      <c r="J34" s="17">
        <f>SUBTOTAL(9,J6:J32)</f>
        <v>41.165999999999997</v>
      </c>
      <c r="K34" s="17">
        <f>SUBTOTAL(9,K6:K32)</f>
        <v>144.72749999999999</v>
      </c>
      <c r="L34" s="17">
        <f>SUBTOTAL(9,L6:L32)</f>
        <v>351.35499999999996</v>
      </c>
      <c r="M34" s="17">
        <f>SUBTOTAL(9,M6:M32)</f>
        <v>731.54499999999996</v>
      </c>
      <c r="N34" s="17">
        <f>SUBTOTAL(9,N6:N32)</f>
        <v>1387.95</v>
      </c>
      <c r="O34" s="1"/>
      <c r="P34" s="13">
        <f>SUBTOTAL(9,P6:P32)</f>
        <v>404</v>
      </c>
      <c r="Q34" s="13">
        <f>SUBTOTAL(9,Q6:Q32)</f>
        <v>4117</v>
      </c>
      <c r="R34" s="13">
        <f>SUBTOTAL(9,R6:R32)</f>
        <v>15688</v>
      </c>
      <c r="S34" s="13">
        <f>SUBTOTAL(9,S6:S32)</f>
        <v>38144</v>
      </c>
      <c r="T34" s="13">
        <f>SUBTOTAL(9,T6:T32)</f>
        <v>80666</v>
      </c>
      <c r="U34" s="13">
        <f>SUBTOTAL(9,U6:U32)</f>
        <v>148275</v>
      </c>
      <c r="V34" s="1"/>
      <c r="W34" s="13"/>
      <c r="X34" s="13"/>
      <c r="Y34" s="13"/>
      <c r="Z34" s="13"/>
      <c r="AA34" s="13"/>
      <c r="AB34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8A0905-6788-494E-AC8F-5C12F9C259F2}">
  <dimension ref="B2:G47"/>
  <sheetViews>
    <sheetView showGridLines="0" zoomScaleNormal="100" workbookViewId="0"/>
  </sheetViews>
  <sheetFormatPr defaultRowHeight="17.399999999999999" x14ac:dyDescent="0.5"/>
  <cols>
    <col min="1" max="1" width="3.33203125" style="2" customWidth="1"/>
    <col min="2" max="2" width="52.33203125" style="2" bestFit="1" customWidth="1"/>
    <col min="3" max="3" width="1.5546875" style="2" bestFit="1" customWidth="1"/>
    <col min="4" max="5" width="10.44140625" style="37" bestFit="1" customWidth="1"/>
    <col min="6" max="6" width="2" style="2" bestFit="1" customWidth="1"/>
    <col min="7" max="7" width="66.6640625" style="26" customWidth="1"/>
    <col min="8" max="16384" width="8.88671875" style="2"/>
  </cols>
  <sheetData>
    <row r="2" spans="2:7" x14ac:dyDescent="0.5">
      <c r="B2" s="1" t="s">
        <v>17</v>
      </c>
    </row>
    <row r="3" spans="2:7" x14ac:dyDescent="0.5">
      <c r="B3" s="2" t="s">
        <v>46</v>
      </c>
    </row>
    <row r="5" spans="2:7" x14ac:dyDescent="0.5">
      <c r="B5" s="3" t="s">
        <v>70</v>
      </c>
      <c r="C5" s="4"/>
      <c r="D5" s="43"/>
      <c r="E5" s="38"/>
      <c r="G5" s="27"/>
    </row>
    <row r="6" spans="2:7" x14ac:dyDescent="0.5">
      <c r="B6" s="7" t="s">
        <v>51</v>
      </c>
      <c r="C6" s="4" t="s">
        <v>25</v>
      </c>
      <c r="D6" s="39" t="s">
        <v>52</v>
      </c>
      <c r="E6" s="39" t="s">
        <v>53</v>
      </c>
      <c r="F6" s="2" t="s">
        <v>25</v>
      </c>
      <c r="G6" s="28" t="s">
        <v>44</v>
      </c>
    </row>
    <row r="7" spans="2:7" x14ac:dyDescent="0.5">
      <c r="B7" s="10" t="s">
        <v>54</v>
      </c>
      <c r="C7" s="4"/>
      <c r="D7" s="46">
        <v>69000</v>
      </c>
      <c r="E7" s="33">
        <f>D7*Assumptions!$D$5/10^7</f>
        <v>0.64859999999999995</v>
      </c>
      <c r="G7" s="31" t="s">
        <v>62</v>
      </c>
    </row>
    <row r="8" spans="2:7" x14ac:dyDescent="0.5">
      <c r="B8" s="10" t="s">
        <v>55</v>
      </c>
      <c r="C8" s="4"/>
      <c r="D8" s="46">
        <v>69000</v>
      </c>
      <c r="E8" s="33">
        <f>D8*Assumptions!$D$5/10^7</f>
        <v>0.64859999999999995</v>
      </c>
      <c r="G8" s="31" t="s">
        <v>63</v>
      </c>
    </row>
    <row r="9" spans="2:7" x14ac:dyDescent="0.5">
      <c r="B9" s="10" t="s">
        <v>56</v>
      </c>
      <c r="C9" s="4"/>
      <c r="D9" s="46">
        <v>232000</v>
      </c>
      <c r="E9" s="33">
        <f>D9*Assumptions!$D$5/10^7</f>
        <v>2.1808000000000001</v>
      </c>
      <c r="G9" s="31" t="s">
        <v>64</v>
      </c>
    </row>
    <row r="10" spans="2:7" x14ac:dyDescent="0.5">
      <c r="B10" s="10" t="s">
        <v>57</v>
      </c>
      <c r="C10" s="4"/>
      <c r="D10" s="46">
        <v>1000000</v>
      </c>
      <c r="E10" s="33">
        <f>D10*Assumptions!$D$5/10^7</f>
        <v>9.4</v>
      </c>
      <c r="G10" s="31" t="s">
        <v>65</v>
      </c>
    </row>
    <row r="11" spans="2:7" x14ac:dyDescent="0.5">
      <c r="B11" s="10" t="s">
        <v>58</v>
      </c>
      <c r="C11" s="4"/>
      <c r="D11" s="46">
        <v>1000000</v>
      </c>
      <c r="E11" s="33">
        <f>D11*Assumptions!$D$5/10^7</f>
        <v>9.4</v>
      </c>
      <c r="G11" s="31" t="s">
        <v>66</v>
      </c>
    </row>
    <row r="12" spans="2:7" x14ac:dyDescent="0.5">
      <c r="B12" s="10" t="s">
        <v>59</v>
      </c>
      <c r="C12" s="4"/>
      <c r="D12" s="46">
        <v>300000</v>
      </c>
      <c r="E12" s="33">
        <f>D12*Assumptions!$D$5/10^7</f>
        <v>2.82</v>
      </c>
      <c r="G12" s="31" t="s">
        <v>67</v>
      </c>
    </row>
    <row r="13" spans="2:7" x14ac:dyDescent="0.5">
      <c r="B13" s="10" t="s">
        <v>60</v>
      </c>
      <c r="C13" s="4"/>
      <c r="D13" s="46">
        <v>500000</v>
      </c>
      <c r="E13" s="33">
        <f>D13*Assumptions!$D$5/10^7</f>
        <v>4.7</v>
      </c>
      <c r="G13" s="31" t="s">
        <v>68</v>
      </c>
    </row>
    <row r="15" spans="2:7" x14ac:dyDescent="0.5">
      <c r="B15" s="10" t="s">
        <v>61</v>
      </c>
      <c r="C15" s="4"/>
      <c r="D15" s="34">
        <f>SUM(D7:D13)</f>
        <v>3170000</v>
      </c>
      <c r="E15" s="52">
        <f>SUM(E7:E13)</f>
        <v>29.797999999999998</v>
      </c>
      <c r="G15" s="31" t="s">
        <v>69</v>
      </c>
    </row>
    <row r="17" spans="2:7" x14ac:dyDescent="0.5">
      <c r="B17" s="3" t="s">
        <v>47</v>
      </c>
      <c r="C17" s="4"/>
      <c r="D17" s="43"/>
      <c r="E17" s="38"/>
      <c r="G17" s="27"/>
    </row>
    <row r="18" spans="2:7" x14ac:dyDescent="0.5">
      <c r="B18" s="7" t="s">
        <v>45</v>
      </c>
      <c r="C18" s="4" t="s">
        <v>25</v>
      </c>
      <c r="D18" s="39" t="s">
        <v>104</v>
      </c>
      <c r="E18" s="37" t="s">
        <v>25</v>
      </c>
      <c r="G18" s="28" t="s">
        <v>44</v>
      </c>
    </row>
    <row r="19" spans="2:7" x14ac:dyDescent="0.5">
      <c r="B19" s="10" t="s">
        <v>71</v>
      </c>
      <c r="C19" s="4"/>
      <c r="D19" s="34">
        <v>57</v>
      </c>
      <c r="G19" s="31" t="s">
        <v>82</v>
      </c>
    </row>
    <row r="20" spans="2:7" x14ac:dyDescent="0.5">
      <c r="B20" s="10" t="s">
        <v>72</v>
      </c>
      <c r="C20" s="4"/>
      <c r="D20" s="34">
        <v>300</v>
      </c>
      <c r="G20" s="31" t="s">
        <v>83</v>
      </c>
    </row>
    <row r="21" spans="2:7" x14ac:dyDescent="0.5">
      <c r="B21" s="10" t="s">
        <v>73</v>
      </c>
      <c r="C21" s="4"/>
      <c r="D21" s="46">
        <f>ROUND(PI()*((D20/2-3)^2)/D19-PI()*(D20-6)/SQRT(D19),0)</f>
        <v>1069</v>
      </c>
      <c r="G21" s="31" t="s">
        <v>84</v>
      </c>
    </row>
    <row r="22" spans="2:7" x14ac:dyDescent="0.5">
      <c r="B22" s="10" t="s">
        <v>74</v>
      </c>
      <c r="C22" s="4"/>
      <c r="D22" s="47">
        <v>0.94499999999999995</v>
      </c>
      <c r="G22" s="31" t="s">
        <v>85</v>
      </c>
    </row>
    <row r="23" spans="2:7" x14ac:dyDescent="0.5">
      <c r="B23" s="10" t="s">
        <v>75</v>
      </c>
      <c r="C23" s="4"/>
      <c r="D23" s="46">
        <f>ROUND(D21*D22,0)</f>
        <v>1010</v>
      </c>
      <c r="G23" s="31" t="s">
        <v>86</v>
      </c>
    </row>
    <row r="24" spans="2:7" x14ac:dyDescent="0.5">
      <c r="B24" s="10" t="s">
        <v>76</v>
      </c>
      <c r="C24" s="4"/>
      <c r="D24" s="48">
        <v>2400</v>
      </c>
      <c r="G24" s="31" t="s">
        <v>87</v>
      </c>
    </row>
    <row r="25" spans="2:7" x14ac:dyDescent="0.5">
      <c r="B25" s="10" t="s">
        <v>77</v>
      </c>
      <c r="C25" s="4"/>
      <c r="D25" s="49">
        <f>D24/D23</f>
        <v>2.3762376237623761</v>
      </c>
      <c r="G25" s="31" t="s">
        <v>88</v>
      </c>
    </row>
    <row r="26" spans="2:7" x14ac:dyDescent="0.5">
      <c r="B26" s="10" t="s">
        <v>78</v>
      </c>
      <c r="C26" s="4"/>
      <c r="D26" s="48">
        <v>1.5</v>
      </c>
      <c r="G26" s="31" t="s">
        <v>89</v>
      </c>
    </row>
    <row r="27" spans="2:7" x14ac:dyDescent="0.5">
      <c r="B27" s="10" t="s">
        <v>79</v>
      </c>
      <c r="C27" s="4"/>
      <c r="D27" s="50">
        <f>SUM(D25:D26)</f>
        <v>3.8762376237623761</v>
      </c>
      <c r="G27" s="31" t="s">
        <v>90</v>
      </c>
    </row>
    <row r="28" spans="2:7" x14ac:dyDescent="0.5">
      <c r="B28" s="40"/>
      <c r="C28" s="4"/>
      <c r="D28" s="44"/>
      <c r="G28" s="42"/>
    </row>
    <row r="29" spans="2:7" x14ac:dyDescent="0.5">
      <c r="B29" s="10" t="s">
        <v>80</v>
      </c>
      <c r="C29" s="4"/>
      <c r="D29" s="48">
        <v>3000</v>
      </c>
      <c r="G29" s="31" t="s">
        <v>91</v>
      </c>
    </row>
    <row r="30" spans="2:7" x14ac:dyDescent="0.5">
      <c r="B30" s="10" t="s">
        <v>81</v>
      </c>
      <c r="C30" s="4"/>
      <c r="D30" s="51">
        <f>D29/D27</f>
        <v>773.94636015325671</v>
      </c>
      <c r="G30" s="31"/>
    </row>
    <row r="32" spans="2:7" x14ac:dyDescent="0.5">
      <c r="B32" s="1" t="s">
        <v>48</v>
      </c>
    </row>
    <row r="33" spans="2:7" x14ac:dyDescent="0.5">
      <c r="B33" s="10" t="s">
        <v>92</v>
      </c>
      <c r="C33" s="4"/>
      <c r="D33" s="48">
        <v>22</v>
      </c>
      <c r="G33" s="31" t="s">
        <v>95</v>
      </c>
    </row>
    <row r="34" spans="2:7" x14ac:dyDescent="0.5">
      <c r="B34" s="10" t="s">
        <v>93</v>
      </c>
      <c r="C34" s="4"/>
      <c r="D34" s="53">
        <f>D33-D27</f>
        <v>18.123762376237625</v>
      </c>
      <c r="G34" s="31"/>
    </row>
    <row r="35" spans="2:7" x14ac:dyDescent="0.5">
      <c r="B35" s="14" t="s">
        <v>94</v>
      </c>
      <c r="C35" s="4"/>
      <c r="D35" s="54">
        <f>ROUND(D15/D34,0)</f>
        <v>174908</v>
      </c>
      <c r="G35" s="55" t="s">
        <v>96</v>
      </c>
    </row>
    <row r="37" spans="2:7" x14ac:dyDescent="0.5">
      <c r="B37" s="1" t="s">
        <v>49</v>
      </c>
    </row>
    <row r="38" spans="2:7" x14ac:dyDescent="0.5">
      <c r="B38" s="10" t="s">
        <v>97</v>
      </c>
      <c r="C38" s="4"/>
      <c r="D38" s="85">
        <f>'Sales Summary'!I20+'Sales Summary'!I16</f>
        <v>185.3</v>
      </c>
      <c r="G38" s="31" t="s">
        <v>105</v>
      </c>
    </row>
    <row r="39" spans="2:7" x14ac:dyDescent="0.5">
      <c r="B39" s="10" t="s">
        <v>98</v>
      </c>
      <c r="C39" s="4"/>
      <c r="D39" s="56">
        <v>0.3</v>
      </c>
      <c r="G39" s="31"/>
    </row>
    <row r="40" spans="2:7" x14ac:dyDescent="0.5">
      <c r="B40" s="14" t="s">
        <v>99</v>
      </c>
      <c r="C40" s="4"/>
      <c r="D40" s="86">
        <f>D38*(1-D39)</f>
        <v>129.71</v>
      </c>
      <c r="G40" s="55" t="s">
        <v>322</v>
      </c>
    </row>
    <row r="42" spans="2:7" x14ac:dyDescent="0.5">
      <c r="B42" s="1" t="s">
        <v>50</v>
      </c>
    </row>
    <row r="43" spans="2:7" x14ac:dyDescent="0.5">
      <c r="B43" s="2" t="s">
        <v>100</v>
      </c>
    </row>
    <row r="44" spans="2:7" x14ac:dyDescent="0.5">
      <c r="B44" s="57" t="s">
        <v>352</v>
      </c>
    </row>
    <row r="45" spans="2:7" x14ac:dyDescent="0.5">
      <c r="B45" s="57" t="s">
        <v>101</v>
      </c>
    </row>
    <row r="46" spans="2:7" x14ac:dyDescent="0.5">
      <c r="B46" s="2" t="s">
        <v>102</v>
      </c>
    </row>
    <row r="47" spans="2:7" x14ac:dyDescent="0.5">
      <c r="B47" s="2" t="s">
        <v>103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4C24EA-C740-451E-9827-2F761B6D3710}">
  <dimension ref="A1:AZ31"/>
  <sheetViews>
    <sheetView showGridLines="0" zoomScaleNormal="100" workbookViewId="0"/>
  </sheetViews>
  <sheetFormatPr defaultRowHeight="17.399999999999999" x14ac:dyDescent="0.5"/>
  <cols>
    <col min="1" max="1" width="2.6640625" style="70" customWidth="1"/>
    <col min="2" max="2" width="32.44140625" style="70" bestFit="1" customWidth="1"/>
    <col min="3" max="3" width="1.88671875" style="70" bestFit="1" customWidth="1"/>
    <col min="4" max="4" width="10.5546875" style="70" bestFit="1" customWidth="1"/>
    <col min="5" max="9" width="8.33203125" style="70" bestFit="1" customWidth="1"/>
    <col min="10" max="10" width="1.77734375" style="70" bestFit="1" customWidth="1"/>
    <col min="11" max="11" width="13.21875" style="70" bestFit="1" customWidth="1"/>
    <col min="12" max="14" width="8.44140625" style="70" bestFit="1" customWidth="1"/>
    <col min="15" max="16" width="9.5546875" style="70" bestFit="1" customWidth="1"/>
    <col min="17" max="17" width="1.77734375" style="70" bestFit="1" customWidth="1"/>
    <col min="18" max="18" width="12.109375" style="70" bestFit="1" customWidth="1"/>
    <col min="19" max="22" width="9.5546875" style="70" bestFit="1" customWidth="1"/>
    <col min="23" max="23" width="11.109375" style="70" bestFit="1" customWidth="1"/>
    <col min="24" max="24" width="1.77734375" style="70" bestFit="1" customWidth="1"/>
    <col min="25" max="25" width="16.21875" style="70" bestFit="1" customWidth="1"/>
    <col min="26" max="30" width="8.33203125" style="70" bestFit="1" customWidth="1"/>
    <col min="31" max="31" width="8.88671875" style="70"/>
    <col min="32" max="32" width="10.109375" style="71" bestFit="1" customWidth="1"/>
    <col min="33" max="51" width="8.88671875" style="70"/>
    <col min="52" max="52" width="8.88671875" style="30"/>
    <col min="53" max="16384" width="8.88671875" style="70"/>
  </cols>
  <sheetData>
    <row r="1" spans="1:52" ht="13.8" x14ac:dyDescent="0.4">
      <c r="AZ1" s="70"/>
    </row>
    <row r="2" spans="1:52" x14ac:dyDescent="0.5">
      <c r="B2" s="1" t="s">
        <v>17</v>
      </c>
      <c r="AZ2" s="70"/>
    </row>
    <row r="3" spans="1:52" x14ac:dyDescent="0.5">
      <c r="B3" s="2" t="s">
        <v>274</v>
      </c>
      <c r="AZ3" s="70"/>
    </row>
    <row r="4" spans="1:52" ht="13.8" x14ac:dyDescent="0.4">
      <c r="D4" s="72" t="s">
        <v>276</v>
      </c>
      <c r="K4" s="72" t="s">
        <v>277</v>
      </c>
      <c r="R4" s="72" t="s">
        <v>278</v>
      </c>
      <c r="Y4" s="72" t="s">
        <v>279</v>
      </c>
      <c r="AZ4" s="70"/>
    </row>
    <row r="5" spans="1:52" s="78" customFormat="1" ht="13.8" x14ac:dyDescent="0.4">
      <c r="A5" s="76"/>
      <c r="B5" s="80" t="s">
        <v>275</v>
      </c>
      <c r="C5" s="77" t="s">
        <v>25</v>
      </c>
      <c r="D5" s="8" t="s">
        <v>2</v>
      </c>
      <c r="E5" s="8" t="s">
        <v>3</v>
      </c>
      <c r="F5" s="8" t="s">
        <v>4</v>
      </c>
      <c r="G5" s="8" t="s">
        <v>5</v>
      </c>
      <c r="H5" s="8" t="s">
        <v>6</v>
      </c>
      <c r="I5" s="8" t="s">
        <v>7</v>
      </c>
      <c r="J5" s="78" t="s">
        <v>25</v>
      </c>
      <c r="K5" s="8" t="s">
        <v>2</v>
      </c>
      <c r="L5" s="8" t="s">
        <v>3</v>
      </c>
      <c r="M5" s="8" t="s">
        <v>4</v>
      </c>
      <c r="N5" s="8" t="s">
        <v>5</v>
      </c>
      <c r="O5" s="8" t="s">
        <v>6</v>
      </c>
      <c r="P5" s="8" t="s">
        <v>7</v>
      </c>
      <c r="Q5" s="78" t="s">
        <v>25</v>
      </c>
      <c r="R5" s="8" t="s">
        <v>2</v>
      </c>
      <c r="S5" s="8" t="s">
        <v>3</v>
      </c>
      <c r="T5" s="8" t="s">
        <v>4</v>
      </c>
      <c r="U5" s="8" t="s">
        <v>5</v>
      </c>
      <c r="V5" s="8" t="s">
        <v>6</v>
      </c>
      <c r="W5" s="8" t="s">
        <v>7</v>
      </c>
      <c r="X5" s="78" t="s">
        <v>25</v>
      </c>
      <c r="Y5" s="8" t="s">
        <v>2</v>
      </c>
      <c r="Z5" s="8" t="s">
        <v>3</v>
      </c>
      <c r="AA5" s="8" t="s">
        <v>4</v>
      </c>
      <c r="AB5" s="8" t="s">
        <v>5</v>
      </c>
      <c r="AC5" s="8" t="s">
        <v>6</v>
      </c>
      <c r="AD5" s="8" t="s">
        <v>7</v>
      </c>
      <c r="AF5" s="79"/>
    </row>
    <row r="6" spans="1:52" ht="13.8" x14ac:dyDescent="0.4">
      <c r="A6" s="73"/>
      <c r="B6" s="81" t="s">
        <v>281</v>
      </c>
      <c r="C6" s="73"/>
      <c r="D6" s="83">
        <v>3</v>
      </c>
      <c r="E6" s="83">
        <v>4</v>
      </c>
      <c r="F6" s="83">
        <v>4</v>
      </c>
      <c r="G6" s="83">
        <v>6</v>
      </c>
      <c r="H6" s="83">
        <v>6</v>
      </c>
      <c r="I6" s="83">
        <v>8</v>
      </c>
      <c r="K6" s="83">
        <v>222750.00000000003</v>
      </c>
      <c r="L6" s="83">
        <v>272250.00000000006</v>
      </c>
      <c r="M6" s="83">
        <v>299475.00000000012</v>
      </c>
      <c r="N6" s="83">
        <v>329422.50000000017</v>
      </c>
      <c r="O6" s="83">
        <v>362364.75000000023</v>
      </c>
      <c r="P6" s="83">
        <v>398601.22500000027</v>
      </c>
      <c r="R6" s="83">
        <f>K6*12</f>
        <v>2673000.0000000005</v>
      </c>
      <c r="S6" s="83">
        <f>L6*12</f>
        <v>3267000.0000000009</v>
      </c>
      <c r="T6" s="83">
        <f>M6*12</f>
        <v>3593700.0000000014</v>
      </c>
      <c r="U6" s="83">
        <f>N6*12</f>
        <v>3953070.0000000019</v>
      </c>
      <c r="V6" s="83">
        <f>O6*12</f>
        <v>4348377.0000000028</v>
      </c>
      <c r="W6" s="83">
        <f>P6*12</f>
        <v>4783214.700000003</v>
      </c>
      <c r="Y6" s="88">
        <f>(D6*R6)/10^7</f>
        <v>0.80190000000000017</v>
      </c>
      <c r="Z6" s="88">
        <f t="shared" ref="Z6:Z16" si="0">(E6*S6)/10^7</f>
        <v>1.3068000000000004</v>
      </c>
      <c r="AA6" s="88">
        <f t="shared" ref="AA6:AA16" si="1">(F6*T6)/10^7</f>
        <v>1.4374800000000005</v>
      </c>
      <c r="AB6" s="88">
        <f t="shared" ref="AB6:AB16" si="2">(G6*U6)/10^7</f>
        <v>2.3718420000000013</v>
      </c>
      <c r="AC6" s="88">
        <f t="shared" ref="AC6:AC16" si="3">(H6*V6)/10^7</f>
        <v>2.6090262000000015</v>
      </c>
      <c r="AD6" s="88">
        <f t="shared" ref="AD6:AD16" si="4">(I6*W6)/10^7</f>
        <v>3.8265717600000024</v>
      </c>
      <c r="AZ6" s="70"/>
    </row>
    <row r="7" spans="1:52" ht="13.8" x14ac:dyDescent="0.4">
      <c r="A7" s="73"/>
      <c r="B7" s="81" t="s">
        <v>280</v>
      </c>
      <c r="C7" s="73"/>
      <c r="D7" s="83">
        <v>4</v>
      </c>
      <c r="E7" s="83">
        <v>10</v>
      </c>
      <c r="F7" s="83">
        <v>20</v>
      </c>
      <c r="G7" s="83">
        <v>25</v>
      </c>
      <c r="H7" s="83">
        <v>44</v>
      </c>
      <c r="I7" s="83">
        <v>68</v>
      </c>
      <c r="K7" s="83">
        <v>66659.67</v>
      </c>
      <c r="L7" s="83">
        <v>81472.930000000008</v>
      </c>
      <c r="M7" s="83">
        <v>89620.223000000013</v>
      </c>
      <c r="N7" s="83">
        <v>98582.245300000024</v>
      </c>
      <c r="O7" s="83">
        <v>108440.46983000003</v>
      </c>
      <c r="P7" s="83">
        <v>119284.51681300004</v>
      </c>
      <c r="R7" s="83">
        <f>K7*12</f>
        <v>799916.04</v>
      </c>
      <c r="S7" s="83">
        <f>L7*12</f>
        <v>977675.16000000015</v>
      </c>
      <c r="T7" s="83">
        <f>M7*12</f>
        <v>1075442.6760000002</v>
      </c>
      <c r="U7" s="83">
        <f>N7*12</f>
        <v>1182986.9436000003</v>
      </c>
      <c r="V7" s="83">
        <f>O7*12</f>
        <v>1301285.6379600004</v>
      </c>
      <c r="W7" s="83">
        <f>P7*12</f>
        <v>1431414.2017560005</v>
      </c>
      <c r="Y7" s="88">
        <f t="shared" ref="Y7:Y16" si="5">(D7*R7)/10^7</f>
        <v>0.31996641600000003</v>
      </c>
      <c r="Z7" s="88">
        <f t="shared" si="0"/>
        <v>0.9776751600000001</v>
      </c>
      <c r="AA7" s="88">
        <f t="shared" si="1"/>
        <v>2.1508853520000004</v>
      </c>
      <c r="AB7" s="88">
        <f t="shared" si="2"/>
        <v>2.9574673590000007</v>
      </c>
      <c r="AC7" s="88">
        <f t="shared" si="3"/>
        <v>5.7256568070240021</v>
      </c>
      <c r="AD7" s="88">
        <f t="shared" si="4"/>
        <v>9.7336165719408037</v>
      </c>
      <c r="AZ7" s="70"/>
    </row>
    <row r="8" spans="1:52" ht="13.8" x14ac:dyDescent="0.4">
      <c r="A8" s="73"/>
      <c r="B8" s="81" t="s">
        <v>282</v>
      </c>
      <c r="C8" s="73"/>
      <c r="D8" s="83">
        <v>2</v>
      </c>
      <c r="E8" s="83">
        <v>4</v>
      </c>
      <c r="F8" s="83">
        <v>4</v>
      </c>
      <c r="G8" s="83">
        <v>6</v>
      </c>
      <c r="H8" s="83">
        <v>10</v>
      </c>
      <c r="I8" s="83">
        <v>18</v>
      </c>
      <c r="K8" s="83">
        <v>37620</v>
      </c>
      <c r="L8" s="83">
        <v>45980.000000000007</v>
      </c>
      <c r="M8" s="83">
        <v>50578.000000000015</v>
      </c>
      <c r="N8" s="83">
        <v>55635.800000000017</v>
      </c>
      <c r="O8" s="83">
        <v>61199.380000000026</v>
      </c>
      <c r="P8" s="83">
        <v>67319.318000000028</v>
      </c>
      <c r="R8" s="83">
        <f>K8*12</f>
        <v>451440</v>
      </c>
      <c r="S8" s="83">
        <f>L8*12</f>
        <v>551760.00000000012</v>
      </c>
      <c r="T8" s="83">
        <f>M8*12</f>
        <v>606936.00000000023</v>
      </c>
      <c r="U8" s="83">
        <f>N8*12</f>
        <v>667629.60000000021</v>
      </c>
      <c r="V8" s="83">
        <f>O8*12</f>
        <v>734392.56000000029</v>
      </c>
      <c r="W8" s="83">
        <f>P8*12</f>
        <v>807831.81600000034</v>
      </c>
      <c r="Y8" s="88">
        <f t="shared" si="5"/>
        <v>9.0287999999999993E-2</v>
      </c>
      <c r="Z8" s="88">
        <f t="shared" si="0"/>
        <v>0.22070400000000004</v>
      </c>
      <c r="AA8" s="88">
        <f t="shared" si="1"/>
        <v>0.24277440000000008</v>
      </c>
      <c r="AB8" s="88">
        <f t="shared" si="2"/>
        <v>0.40057776000000017</v>
      </c>
      <c r="AC8" s="88">
        <f t="shared" si="3"/>
        <v>0.73439256000000031</v>
      </c>
      <c r="AD8" s="88">
        <f t="shared" si="4"/>
        <v>1.4540972688000007</v>
      </c>
      <c r="AZ8" s="70"/>
    </row>
    <row r="9" spans="1:52" ht="13.8" x14ac:dyDescent="0.4">
      <c r="A9" s="73"/>
      <c r="B9" s="81" t="s">
        <v>283</v>
      </c>
      <c r="C9" s="73"/>
      <c r="D9" s="83">
        <v>3</v>
      </c>
      <c r="E9" s="83">
        <v>6</v>
      </c>
      <c r="F9" s="83">
        <v>10</v>
      </c>
      <c r="G9" s="83">
        <v>12</v>
      </c>
      <c r="H9" s="83">
        <v>19</v>
      </c>
      <c r="I9" s="83">
        <v>38</v>
      </c>
      <c r="K9" s="83">
        <v>34650</v>
      </c>
      <c r="L9" s="83">
        <v>42350</v>
      </c>
      <c r="M9" s="83">
        <v>46585.000000000007</v>
      </c>
      <c r="N9" s="83">
        <v>51243.500000000015</v>
      </c>
      <c r="O9" s="83">
        <v>56367.85000000002</v>
      </c>
      <c r="P9" s="83">
        <v>62004.635000000024</v>
      </c>
      <c r="R9" s="83">
        <f>K9*12</f>
        <v>415800</v>
      </c>
      <c r="S9" s="83">
        <f>L9*12</f>
        <v>508200</v>
      </c>
      <c r="T9" s="83">
        <f>M9*12</f>
        <v>559020.00000000012</v>
      </c>
      <c r="U9" s="83">
        <f>N9*12</f>
        <v>614922.00000000023</v>
      </c>
      <c r="V9" s="83">
        <f>O9*12</f>
        <v>676414.20000000019</v>
      </c>
      <c r="W9" s="83">
        <f>P9*12</f>
        <v>744055.62000000034</v>
      </c>
      <c r="Y9" s="88">
        <f t="shared" si="5"/>
        <v>0.12474</v>
      </c>
      <c r="Z9" s="88">
        <f t="shared" si="0"/>
        <v>0.30492000000000002</v>
      </c>
      <c r="AA9" s="88">
        <f t="shared" si="1"/>
        <v>0.55902000000000007</v>
      </c>
      <c r="AB9" s="88">
        <f t="shared" si="2"/>
        <v>0.7379064000000003</v>
      </c>
      <c r="AC9" s="88">
        <f t="shared" si="3"/>
        <v>1.2851869800000004</v>
      </c>
      <c r="AD9" s="88">
        <f t="shared" si="4"/>
        <v>2.8274113560000012</v>
      </c>
      <c r="AZ9" s="70"/>
    </row>
    <row r="10" spans="1:52" ht="13.8" x14ac:dyDescent="0.4">
      <c r="A10" s="73"/>
      <c r="B10" s="81" t="s">
        <v>284</v>
      </c>
      <c r="C10" s="73"/>
      <c r="D10" s="83">
        <v>6</v>
      </c>
      <c r="E10" s="83">
        <v>15</v>
      </c>
      <c r="F10" s="83">
        <v>30</v>
      </c>
      <c r="G10" s="83">
        <v>35</v>
      </c>
      <c r="H10" s="83">
        <v>57</v>
      </c>
      <c r="I10" s="83">
        <v>98</v>
      </c>
      <c r="K10" s="83">
        <v>57600.180000000008</v>
      </c>
      <c r="L10" s="83">
        <v>70400.220000000016</v>
      </c>
      <c r="M10" s="83">
        <v>77440.242000000027</v>
      </c>
      <c r="N10" s="83">
        <v>85184.266200000042</v>
      </c>
      <c r="O10" s="83">
        <v>93702.692820000055</v>
      </c>
      <c r="P10" s="83">
        <v>103072.96210200006</v>
      </c>
      <c r="R10" s="83">
        <f>K10*12</f>
        <v>691202.16000000015</v>
      </c>
      <c r="S10" s="83">
        <f>L10*12</f>
        <v>844802.64000000013</v>
      </c>
      <c r="T10" s="83">
        <f>M10*12</f>
        <v>929282.90400000033</v>
      </c>
      <c r="U10" s="83">
        <f>N10*12</f>
        <v>1022211.1944000005</v>
      </c>
      <c r="V10" s="83">
        <f>O10*12</f>
        <v>1124432.3138400007</v>
      </c>
      <c r="W10" s="83">
        <f>P10*12</f>
        <v>1236875.5452240007</v>
      </c>
      <c r="Y10" s="88">
        <f t="shared" si="5"/>
        <v>0.41472129600000007</v>
      </c>
      <c r="Z10" s="88">
        <f t="shared" si="0"/>
        <v>1.2672039600000002</v>
      </c>
      <c r="AA10" s="88">
        <f t="shared" si="1"/>
        <v>2.7878487120000011</v>
      </c>
      <c r="AB10" s="88">
        <f t="shared" si="2"/>
        <v>3.5777391804000018</v>
      </c>
      <c r="AC10" s="88">
        <f t="shared" si="3"/>
        <v>6.4092641888880033</v>
      </c>
      <c r="AD10" s="88">
        <f t="shared" si="4"/>
        <v>12.121380343195208</v>
      </c>
      <c r="AZ10" s="70"/>
    </row>
    <row r="11" spans="1:52" ht="13.8" x14ac:dyDescent="0.4">
      <c r="A11" s="73"/>
      <c r="B11" s="81" t="s">
        <v>285</v>
      </c>
      <c r="C11" s="73"/>
      <c r="D11" s="83">
        <v>2</v>
      </c>
      <c r="E11" s="83">
        <v>4</v>
      </c>
      <c r="F11" s="83">
        <v>5</v>
      </c>
      <c r="G11" s="83">
        <v>6</v>
      </c>
      <c r="H11" s="83">
        <v>9</v>
      </c>
      <c r="I11" s="83">
        <v>23</v>
      </c>
      <c r="K11" s="83">
        <v>12375.000000000002</v>
      </c>
      <c r="L11" s="83">
        <v>15125.000000000004</v>
      </c>
      <c r="M11" s="83">
        <v>16637.500000000004</v>
      </c>
      <c r="N11" s="83">
        <v>18301.250000000007</v>
      </c>
      <c r="O11" s="83">
        <v>20131.375000000011</v>
      </c>
      <c r="P11" s="83">
        <v>22144.512500000015</v>
      </c>
      <c r="R11" s="83">
        <f>K11*12</f>
        <v>148500.00000000003</v>
      </c>
      <c r="S11" s="83">
        <f>L11*12</f>
        <v>181500.00000000006</v>
      </c>
      <c r="T11" s="83">
        <f>M11*12</f>
        <v>199650.00000000006</v>
      </c>
      <c r="U11" s="83">
        <f>N11*12</f>
        <v>219615.00000000009</v>
      </c>
      <c r="V11" s="83">
        <f>O11*12</f>
        <v>241576.50000000012</v>
      </c>
      <c r="W11" s="83">
        <f>P11*12</f>
        <v>265734.1500000002</v>
      </c>
      <c r="Y11" s="88">
        <f t="shared" si="5"/>
        <v>2.9700000000000004E-2</v>
      </c>
      <c r="Z11" s="88">
        <f t="shared" si="0"/>
        <v>7.2600000000000026E-2</v>
      </c>
      <c r="AA11" s="88">
        <f t="shared" si="1"/>
        <v>9.9825000000000025E-2</v>
      </c>
      <c r="AB11" s="88">
        <f t="shared" si="2"/>
        <v>0.13176900000000005</v>
      </c>
      <c r="AC11" s="88">
        <f t="shared" si="3"/>
        <v>0.21741885000000008</v>
      </c>
      <c r="AD11" s="88">
        <f t="shared" si="4"/>
        <v>0.61118854500000053</v>
      </c>
      <c r="AZ11" s="70"/>
    </row>
    <row r="12" spans="1:52" ht="13.8" x14ac:dyDescent="0.4">
      <c r="A12" s="73"/>
      <c r="B12" s="81" t="s">
        <v>286</v>
      </c>
      <c r="C12" s="73"/>
      <c r="D12" s="83">
        <v>5</v>
      </c>
      <c r="E12" s="83">
        <v>12</v>
      </c>
      <c r="F12" s="83">
        <v>20</v>
      </c>
      <c r="G12" s="83">
        <v>30</v>
      </c>
      <c r="H12" s="83">
        <v>50</v>
      </c>
      <c r="I12" s="83">
        <v>105</v>
      </c>
      <c r="K12" s="83">
        <v>36029.070000000007</v>
      </c>
      <c r="L12" s="83">
        <v>44035.530000000006</v>
      </c>
      <c r="M12" s="83">
        <v>48439.083000000013</v>
      </c>
      <c r="N12" s="83">
        <v>53282.991300000016</v>
      </c>
      <c r="O12" s="83">
        <v>58611.290430000023</v>
      </c>
      <c r="P12" s="83">
        <v>64472.419473000031</v>
      </c>
      <c r="R12" s="83">
        <f>K12*12</f>
        <v>432348.84000000008</v>
      </c>
      <c r="S12" s="83">
        <f>L12*12</f>
        <v>528426.3600000001</v>
      </c>
      <c r="T12" s="83">
        <f>M12*12</f>
        <v>581268.99600000016</v>
      </c>
      <c r="U12" s="83">
        <f>N12*12</f>
        <v>639395.89560000016</v>
      </c>
      <c r="V12" s="83">
        <f>O12*12</f>
        <v>703335.48516000027</v>
      </c>
      <c r="W12" s="83">
        <f>P12*12</f>
        <v>773669.03367600031</v>
      </c>
      <c r="Y12" s="88">
        <f t="shared" si="5"/>
        <v>0.21617442000000001</v>
      </c>
      <c r="Z12" s="88">
        <f t="shared" si="0"/>
        <v>0.63411163200000009</v>
      </c>
      <c r="AA12" s="88">
        <f t="shared" si="1"/>
        <v>1.1625379920000003</v>
      </c>
      <c r="AB12" s="88">
        <f t="shared" si="2"/>
        <v>1.9181876868000005</v>
      </c>
      <c r="AC12" s="88">
        <f t="shared" si="3"/>
        <v>3.5166774258000015</v>
      </c>
      <c r="AD12" s="88">
        <f t="shared" si="4"/>
        <v>8.1235248535980027</v>
      </c>
      <c r="AZ12" s="70"/>
    </row>
    <row r="13" spans="1:52" ht="13.8" x14ac:dyDescent="0.4">
      <c r="A13" s="73"/>
      <c r="B13" s="81" t="s">
        <v>287</v>
      </c>
      <c r="C13" s="73"/>
      <c r="D13" s="83">
        <v>2</v>
      </c>
      <c r="E13" s="83">
        <v>4</v>
      </c>
      <c r="F13" s="83">
        <v>6</v>
      </c>
      <c r="G13" s="83">
        <v>10</v>
      </c>
      <c r="H13" s="83">
        <v>15</v>
      </c>
      <c r="I13" s="83">
        <v>30</v>
      </c>
      <c r="K13" s="83">
        <v>9900</v>
      </c>
      <c r="L13" s="83">
        <v>12100.000000000002</v>
      </c>
      <c r="M13" s="83">
        <v>13310.000000000004</v>
      </c>
      <c r="N13" s="83">
        <v>14641.000000000005</v>
      </c>
      <c r="O13" s="83">
        <v>16105.100000000008</v>
      </c>
      <c r="P13" s="83">
        <v>17715.610000000011</v>
      </c>
      <c r="R13" s="83">
        <f>K13*12</f>
        <v>118800</v>
      </c>
      <c r="S13" s="83">
        <f>L13*12</f>
        <v>145200.00000000003</v>
      </c>
      <c r="T13" s="83">
        <f>M13*12</f>
        <v>159720.00000000006</v>
      </c>
      <c r="U13" s="83">
        <f>N13*12</f>
        <v>175692.00000000006</v>
      </c>
      <c r="V13" s="83">
        <f>O13*12</f>
        <v>193261.2000000001</v>
      </c>
      <c r="W13" s="83">
        <f>P13*12</f>
        <v>212587.32000000012</v>
      </c>
      <c r="Y13" s="88">
        <f t="shared" si="5"/>
        <v>2.376E-2</v>
      </c>
      <c r="Z13" s="88">
        <f t="shared" si="0"/>
        <v>5.8080000000000014E-2</v>
      </c>
      <c r="AA13" s="88">
        <f t="shared" si="1"/>
        <v>9.5832000000000028E-2</v>
      </c>
      <c r="AB13" s="88">
        <f t="shared" si="2"/>
        <v>0.17569200000000004</v>
      </c>
      <c r="AC13" s="88">
        <f t="shared" si="3"/>
        <v>0.28989180000000014</v>
      </c>
      <c r="AD13" s="88">
        <f t="shared" si="4"/>
        <v>0.63776196000000029</v>
      </c>
      <c r="AZ13" s="70"/>
    </row>
    <row r="14" spans="1:52" ht="13.8" x14ac:dyDescent="0.4">
      <c r="A14" s="73"/>
      <c r="B14" s="81" t="s">
        <v>309</v>
      </c>
      <c r="C14" s="73"/>
      <c r="D14" s="83">
        <v>3</v>
      </c>
      <c r="E14" s="83">
        <v>7</v>
      </c>
      <c r="F14" s="83">
        <v>12</v>
      </c>
      <c r="G14" s="83">
        <v>20</v>
      </c>
      <c r="H14" s="83">
        <v>35</v>
      </c>
      <c r="I14" s="83">
        <v>60</v>
      </c>
      <c r="K14" s="83">
        <v>59400</v>
      </c>
      <c r="L14" s="83">
        <v>72600</v>
      </c>
      <c r="M14" s="83">
        <v>79860</v>
      </c>
      <c r="N14" s="83">
        <v>87846</v>
      </c>
      <c r="O14" s="83">
        <v>96630.6</v>
      </c>
      <c r="P14" s="83">
        <v>106293.66000000002</v>
      </c>
      <c r="R14" s="83">
        <v>132000</v>
      </c>
      <c r="S14" s="83">
        <v>145200.00000000003</v>
      </c>
      <c r="T14" s="83">
        <v>159720.00000000006</v>
      </c>
      <c r="U14" s="83">
        <v>175692.00000000006</v>
      </c>
      <c r="V14" s="83">
        <v>193261.2000000001</v>
      </c>
      <c r="W14" s="83">
        <v>212587.32000000012</v>
      </c>
      <c r="Y14" s="88">
        <f t="shared" si="5"/>
        <v>3.9600000000000003E-2</v>
      </c>
      <c r="Z14" s="88">
        <f t="shared" si="0"/>
        <v>0.10164000000000002</v>
      </c>
      <c r="AA14" s="88">
        <f t="shared" si="1"/>
        <v>0.19166400000000006</v>
      </c>
      <c r="AB14" s="88">
        <f t="shared" si="2"/>
        <v>0.35138400000000009</v>
      </c>
      <c r="AC14" s="88">
        <f t="shared" si="3"/>
        <v>0.67641420000000041</v>
      </c>
      <c r="AD14" s="88">
        <f t="shared" si="4"/>
        <v>1.2755239200000006</v>
      </c>
      <c r="AZ14" s="70"/>
    </row>
    <row r="15" spans="1:52" ht="13.8" x14ac:dyDescent="0.4">
      <c r="A15" s="73"/>
      <c r="B15" s="81" t="s">
        <v>310</v>
      </c>
      <c r="C15" s="73"/>
      <c r="D15" s="83">
        <v>2</v>
      </c>
      <c r="E15" s="83">
        <v>5</v>
      </c>
      <c r="F15" s="83">
        <v>7</v>
      </c>
      <c r="G15" s="83">
        <v>11</v>
      </c>
      <c r="H15" s="83">
        <v>19</v>
      </c>
      <c r="I15" s="83">
        <v>33</v>
      </c>
      <c r="K15" s="83">
        <v>54450.000000000007</v>
      </c>
      <c r="L15" s="83">
        <v>66550.000000000015</v>
      </c>
      <c r="M15" s="83">
        <v>73205.000000000029</v>
      </c>
      <c r="N15" s="83">
        <v>80525.500000000044</v>
      </c>
      <c r="O15" s="83">
        <v>88578.050000000061</v>
      </c>
      <c r="P15" s="83">
        <v>97435.855000000069</v>
      </c>
      <c r="R15" s="83">
        <v>132000</v>
      </c>
      <c r="S15" s="83">
        <v>145200.00000000003</v>
      </c>
      <c r="T15" s="83">
        <v>159720.00000000006</v>
      </c>
      <c r="U15" s="83">
        <v>175692.00000000006</v>
      </c>
      <c r="V15" s="83">
        <v>193261.2000000001</v>
      </c>
      <c r="W15" s="83">
        <v>212587.32000000012</v>
      </c>
      <c r="Y15" s="88">
        <f t="shared" si="5"/>
        <v>2.64E-2</v>
      </c>
      <c r="Z15" s="88">
        <f t="shared" si="0"/>
        <v>7.2600000000000012E-2</v>
      </c>
      <c r="AA15" s="88">
        <f t="shared" si="1"/>
        <v>0.11180400000000004</v>
      </c>
      <c r="AB15" s="88">
        <f t="shared" si="2"/>
        <v>0.19326120000000008</v>
      </c>
      <c r="AC15" s="88">
        <f t="shared" si="3"/>
        <v>0.36719628000000015</v>
      </c>
      <c r="AD15" s="88">
        <f t="shared" si="4"/>
        <v>0.70153815600000047</v>
      </c>
      <c r="AZ15" s="70"/>
    </row>
    <row r="16" spans="1:52" ht="13.8" x14ac:dyDescent="0.4">
      <c r="A16" s="73"/>
      <c r="B16" s="81" t="s">
        <v>311</v>
      </c>
      <c r="C16" s="73"/>
      <c r="D16" s="83">
        <v>2</v>
      </c>
      <c r="E16" s="83">
        <v>5</v>
      </c>
      <c r="F16" s="83">
        <v>10</v>
      </c>
      <c r="G16" s="83">
        <v>18</v>
      </c>
      <c r="H16" s="83">
        <v>32</v>
      </c>
      <c r="I16" s="83">
        <v>60</v>
      </c>
      <c r="K16" s="83">
        <v>44550.000000000007</v>
      </c>
      <c r="L16" s="83">
        <v>54450.000000000015</v>
      </c>
      <c r="M16" s="83">
        <v>59895.000000000022</v>
      </c>
      <c r="N16" s="83">
        <v>65884.500000000029</v>
      </c>
      <c r="O16" s="83">
        <v>72472.950000000041</v>
      </c>
      <c r="P16" s="83">
        <v>79720.245000000054</v>
      </c>
      <c r="R16" s="83">
        <v>132000</v>
      </c>
      <c r="S16" s="83">
        <v>145200.00000000003</v>
      </c>
      <c r="T16" s="83">
        <v>159720.00000000006</v>
      </c>
      <c r="U16" s="83">
        <v>175692.00000000006</v>
      </c>
      <c r="V16" s="83">
        <v>193261.2000000001</v>
      </c>
      <c r="W16" s="83">
        <v>212587.32000000012</v>
      </c>
      <c r="Y16" s="88">
        <f t="shared" si="5"/>
        <v>2.64E-2</v>
      </c>
      <c r="Z16" s="88">
        <f t="shared" si="0"/>
        <v>7.2600000000000012E-2</v>
      </c>
      <c r="AA16" s="88">
        <f t="shared" si="1"/>
        <v>0.15972000000000006</v>
      </c>
      <c r="AB16" s="88">
        <f t="shared" si="2"/>
        <v>0.31624560000000007</v>
      </c>
      <c r="AC16" s="88">
        <f t="shared" si="3"/>
        <v>0.61843584000000029</v>
      </c>
      <c r="AD16" s="88">
        <f t="shared" si="4"/>
        <v>1.2755239200000006</v>
      </c>
      <c r="AZ16" s="70"/>
    </row>
    <row r="17" spans="1:52" ht="13.8" x14ac:dyDescent="0.4">
      <c r="A17" s="73"/>
      <c r="B17" s="81"/>
      <c r="C17" s="73"/>
      <c r="D17" s="83"/>
      <c r="E17" s="83"/>
      <c r="F17" s="83"/>
      <c r="G17" s="83"/>
      <c r="H17" s="83"/>
      <c r="I17" s="83"/>
      <c r="K17" s="83"/>
      <c r="L17" s="83"/>
      <c r="M17" s="83"/>
      <c r="N17" s="83"/>
      <c r="O17" s="83"/>
      <c r="P17" s="83"/>
      <c r="R17" s="83"/>
      <c r="S17" s="83"/>
      <c r="T17" s="83"/>
      <c r="U17" s="83"/>
      <c r="V17" s="83"/>
      <c r="W17" s="83"/>
      <c r="Y17" s="83"/>
      <c r="Z17" s="83"/>
      <c r="AA17" s="83"/>
      <c r="AB17" s="83"/>
      <c r="AC17" s="83"/>
      <c r="AD17" s="83"/>
      <c r="AZ17" s="70"/>
    </row>
    <row r="18" spans="1:52" s="72" customFormat="1" ht="13.8" x14ac:dyDescent="0.4">
      <c r="A18" s="74"/>
      <c r="B18" s="82" t="s">
        <v>40</v>
      </c>
      <c r="C18" s="74"/>
      <c r="D18" s="84">
        <f>SUM(D6:D16)</f>
        <v>34</v>
      </c>
      <c r="E18" s="84">
        <f>SUM(E6:E16)</f>
        <v>76</v>
      </c>
      <c r="F18" s="84">
        <f>SUM(F6:F16)</f>
        <v>128</v>
      </c>
      <c r="G18" s="84">
        <f>SUM(G6:G16)</f>
        <v>179</v>
      </c>
      <c r="H18" s="84">
        <f>SUM(H6:H16)</f>
        <v>296</v>
      </c>
      <c r="I18" s="84">
        <f>SUM(I6:I16)</f>
        <v>541</v>
      </c>
      <c r="K18" s="84">
        <f>SUM(K6:K17)</f>
        <v>635983.92000000004</v>
      </c>
      <c r="L18" s="84">
        <f>SUM(L6:L17)</f>
        <v>777313.68000000017</v>
      </c>
      <c r="M18" s="84">
        <f>SUM(M6:M17)</f>
        <v>855045.04800000007</v>
      </c>
      <c r="N18" s="84">
        <f>SUM(N6:N17)</f>
        <v>940549.5528000003</v>
      </c>
      <c r="O18" s="84">
        <f>SUM(O6:O17)</f>
        <v>1034604.5080800004</v>
      </c>
      <c r="P18" s="84">
        <f>SUM(P6:P17)</f>
        <v>1138064.9588880006</v>
      </c>
      <c r="R18" s="84">
        <f>SUM(R6:R17)</f>
        <v>6127007.040000001</v>
      </c>
      <c r="S18" s="84">
        <f>SUM(S6:S17)</f>
        <v>7440164.1600000011</v>
      </c>
      <c r="T18" s="84">
        <f>SUM(T6:T17)</f>
        <v>8184180.5760000022</v>
      </c>
      <c r="U18" s="84">
        <f>SUM(U6:U17)</f>
        <v>9002598.633600004</v>
      </c>
      <c r="V18" s="84">
        <f>SUM(V6:V17)</f>
        <v>9902858.4969600029</v>
      </c>
      <c r="W18" s="84">
        <f>SUM(W6:W17)</f>
        <v>10893144.346656006</v>
      </c>
      <c r="Y18" s="89">
        <f>SUM(Y6:Y17)</f>
        <v>2.113650132000001</v>
      </c>
      <c r="Z18" s="89">
        <f>SUM(Z6:Z17)</f>
        <v>5.0889347520000019</v>
      </c>
      <c r="AA18" s="89">
        <f>SUM(AA6:AA17)</f>
        <v>8.9993914560000015</v>
      </c>
      <c r="AB18" s="89">
        <f>SUM(AB6:AB17)</f>
        <v>13.132072186200004</v>
      </c>
      <c r="AC18" s="89">
        <f>SUM(AC6:AC17)</f>
        <v>22.449561131712013</v>
      </c>
      <c r="AD18" s="89">
        <f>SUM(AD6:AD17)</f>
        <v>42.588138654534013</v>
      </c>
      <c r="AF18" s="75"/>
    </row>
    <row r="19" spans="1:52" ht="13.8" x14ac:dyDescent="0.4">
      <c r="A19" s="73"/>
      <c r="B19" s="73"/>
      <c r="C19" s="73"/>
      <c r="AZ19" s="70"/>
    </row>
    <row r="20" spans="1:52" x14ac:dyDescent="0.5">
      <c r="K20" s="97"/>
    </row>
    <row r="21" spans="1:52" x14ac:dyDescent="0.5">
      <c r="K21" s="97"/>
    </row>
    <row r="22" spans="1:52" x14ac:dyDescent="0.5">
      <c r="K22" s="97"/>
    </row>
    <row r="23" spans="1:52" x14ac:dyDescent="0.5">
      <c r="K23" s="97"/>
    </row>
    <row r="24" spans="1:52" x14ac:dyDescent="0.5">
      <c r="K24" s="97"/>
    </row>
    <row r="25" spans="1:52" x14ac:dyDescent="0.5">
      <c r="K25" s="97"/>
    </row>
    <row r="26" spans="1:52" x14ac:dyDescent="0.5">
      <c r="K26" s="97"/>
    </row>
    <row r="27" spans="1:52" x14ac:dyDescent="0.5">
      <c r="K27" s="97"/>
    </row>
    <row r="28" spans="1:52" x14ac:dyDescent="0.5">
      <c r="K28" s="97"/>
    </row>
    <row r="29" spans="1:52" x14ac:dyDescent="0.5">
      <c r="K29" s="97"/>
    </row>
    <row r="30" spans="1:52" x14ac:dyDescent="0.5">
      <c r="K30" s="97"/>
    </row>
    <row r="31" spans="1:52" x14ac:dyDescent="0.5">
      <c r="K31" s="9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FA6798-14A8-43E9-9B20-1362F8B1CB73}">
  <dimension ref="A1:X34"/>
  <sheetViews>
    <sheetView showGridLines="0" zoomScaleNormal="100" workbookViewId="0"/>
  </sheetViews>
  <sheetFormatPr defaultRowHeight="17.399999999999999" x14ac:dyDescent="0.5"/>
  <cols>
    <col min="1" max="1" width="2.6640625" style="70" customWidth="1"/>
    <col min="2" max="2" width="40.5546875" style="70" bestFit="1" customWidth="1"/>
    <col min="3" max="3" width="1.6640625" style="70" bestFit="1" customWidth="1"/>
    <col min="4" max="7" width="7.77734375" style="93" bestFit="1" customWidth="1"/>
    <col min="8" max="9" width="7.77734375" style="93" customWidth="1"/>
    <col min="10" max="10" width="1.6640625" style="70" bestFit="1" customWidth="1"/>
    <col min="11" max="23" width="8.88671875" style="70"/>
    <col min="24" max="24" width="8.88671875" style="30"/>
    <col min="25" max="16384" width="8.88671875" style="70"/>
  </cols>
  <sheetData>
    <row r="1" spans="1:24" ht="13.8" x14ac:dyDescent="0.4">
      <c r="X1" s="70"/>
    </row>
    <row r="2" spans="1:24" x14ac:dyDescent="0.5">
      <c r="B2" s="1" t="s">
        <v>17</v>
      </c>
      <c r="X2" s="70"/>
    </row>
    <row r="3" spans="1:24" x14ac:dyDescent="0.5">
      <c r="B3" s="2" t="s">
        <v>219</v>
      </c>
      <c r="X3" s="70"/>
    </row>
    <row r="4" spans="1:24" x14ac:dyDescent="0.5">
      <c r="B4" s="2"/>
      <c r="X4" s="70"/>
    </row>
    <row r="5" spans="1:24" ht="13.8" x14ac:dyDescent="0.4">
      <c r="B5" s="72" t="s">
        <v>316</v>
      </c>
      <c r="X5" s="70"/>
    </row>
    <row r="6" spans="1:24" s="78" customFormat="1" ht="13.8" x14ac:dyDescent="0.4">
      <c r="A6" s="76"/>
      <c r="B6" s="80" t="s">
        <v>51</v>
      </c>
      <c r="C6" s="77" t="s">
        <v>25</v>
      </c>
      <c r="D6" s="36" t="s">
        <v>2</v>
      </c>
      <c r="E6" s="36" t="s">
        <v>3</v>
      </c>
      <c r="F6" s="36" t="s">
        <v>4</v>
      </c>
      <c r="G6" s="36" t="s">
        <v>5</v>
      </c>
      <c r="H6" s="36" t="s">
        <v>6</v>
      </c>
      <c r="I6" s="36" t="s">
        <v>7</v>
      </c>
    </row>
    <row r="7" spans="1:24" ht="13.8" x14ac:dyDescent="0.4">
      <c r="A7" s="73"/>
      <c r="B7" s="81" t="s">
        <v>317</v>
      </c>
      <c r="C7" s="73"/>
      <c r="D7" s="90">
        <v>0.6</v>
      </c>
      <c r="E7" s="90">
        <v>2.75</v>
      </c>
      <c r="F7" s="90">
        <v>8.1869871554371763</v>
      </c>
      <c r="G7" s="90">
        <v>16.531369604889875</v>
      </c>
      <c r="H7" s="90">
        <v>28.749307474385816</v>
      </c>
      <c r="I7" s="90">
        <v>45.096805676606174</v>
      </c>
      <c r="L7" s="96"/>
      <c r="M7" s="92"/>
      <c r="N7" s="95"/>
      <c r="O7" s="95"/>
      <c r="P7" s="95"/>
      <c r="Q7" s="95"/>
      <c r="R7" s="95"/>
      <c r="X7" s="70"/>
    </row>
    <row r="8" spans="1:24" ht="13.8" x14ac:dyDescent="0.4">
      <c r="A8" s="73"/>
      <c r="B8" s="81" t="s">
        <v>318</v>
      </c>
      <c r="C8" s="73"/>
      <c r="D8" s="90">
        <v>0.4</v>
      </c>
      <c r="E8" s="90">
        <v>2.0223998393266602</v>
      </c>
      <c r="F8" s="90">
        <v>8.1869871554371763</v>
      </c>
      <c r="G8" s="90">
        <v>17.340187234229138</v>
      </c>
      <c r="H8" s="90">
        <v>30.764138916492236</v>
      </c>
      <c r="I8" s="90">
        <v>48.483418428896577</v>
      </c>
      <c r="M8" s="92"/>
      <c r="X8" s="70"/>
    </row>
    <row r="9" spans="1:24" ht="13.8" x14ac:dyDescent="0.4">
      <c r="A9" s="73"/>
      <c r="B9" s="81" t="s">
        <v>319</v>
      </c>
      <c r="C9" s="73"/>
      <c r="D9" s="90">
        <v>0.33025514641925197</v>
      </c>
      <c r="E9" s="90">
        <v>1.8615928904458592</v>
      </c>
      <c r="F9" s="90">
        <v>7.0718806891256465</v>
      </c>
      <c r="G9" s="90">
        <v>15.318143160880982</v>
      </c>
      <c r="H9" s="90">
        <v>27.540408609121961</v>
      </c>
      <c r="I9" s="90">
        <v>43.826825894497276</v>
      </c>
      <c r="M9" s="92"/>
      <c r="X9" s="70"/>
    </row>
    <row r="10" spans="1:24" s="72" customFormat="1" ht="13.8" x14ac:dyDescent="0.4">
      <c r="A10" s="74"/>
      <c r="B10" s="82" t="s">
        <v>335</v>
      </c>
      <c r="C10" s="74"/>
      <c r="D10" s="91">
        <f>SUM(D7:D9)</f>
        <v>1.330255146419252</v>
      </c>
      <c r="E10" s="91">
        <f t="shared" ref="E10:I10" si="0">SUM(E7:E9)</f>
        <v>6.633992729772519</v>
      </c>
      <c r="F10" s="91">
        <f t="shared" si="0"/>
        <v>23.445854999999998</v>
      </c>
      <c r="G10" s="91">
        <f t="shared" si="0"/>
        <v>49.189699999999988</v>
      </c>
      <c r="H10" s="91">
        <f t="shared" si="0"/>
        <v>87.053855000000013</v>
      </c>
      <c r="I10" s="91">
        <f t="shared" si="0"/>
        <v>137.40705000000003</v>
      </c>
    </row>
    <row r="11" spans="1:24" ht="13.8" x14ac:dyDescent="0.4">
      <c r="A11" s="73"/>
      <c r="B11" s="81" t="s">
        <v>334</v>
      </c>
      <c r="C11" s="73"/>
      <c r="D11" s="90">
        <v>0.4</v>
      </c>
      <c r="E11" s="90">
        <v>6.2829607499999991</v>
      </c>
      <c r="F11" s="90">
        <v>19.342830374999998</v>
      </c>
      <c r="G11" s="90">
        <v>55.33841249999999</v>
      </c>
      <c r="H11" s="90">
        <v>121.25358375</v>
      </c>
      <c r="I11" s="90">
        <v>240.46233749999999</v>
      </c>
      <c r="L11" s="96"/>
      <c r="X11" s="70"/>
    </row>
    <row r="12" spans="1:24" ht="13.8" x14ac:dyDescent="0.4">
      <c r="A12" s="73"/>
      <c r="B12" s="81"/>
      <c r="C12" s="73"/>
      <c r="D12" s="90"/>
      <c r="E12" s="90"/>
      <c r="F12" s="90"/>
      <c r="G12" s="90"/>
      <c r="H12" s="90"/>
      <c r="I12" s="90"/>
      <c r="X12" s="70"/>
    </row>
    <row r="13" spans="1:24" ht="13.8" x14ac:dyDescent="0.4">
      <c r="A13" s="73"/>
      <c r="B13" s="82" t="s">
        <v>336</v>
      </c>
      <c r="C13" s="73"/>
      <c r="D13" s="91">
        <f>D10+D11</f>
        <v>1.7302551464192519</v>
      </c>
      <c r="E13" s="91">
        <f>E10+E11</f>
        <v>12.916953479772518</v>
      </c>
      <c r="F13" s="91">
        <f>F10+F11</f>
        <v>42.788685375</v>
      </c>
      <c r="G13" s="91">
        <f>G10+G11</f>
        <v>104.52811249999998</v>
      </c>
      <c r="H13" s="91">
        <f>H10+H11</f>
        <v>208.30743875000002</v>
      </c>
      <c r="I13" s="91">
        <f>I10+I11</f>
        <v>377.86938750000002</v>
      </c>
      <c r="L13" s="96"/>
      <c r="M13" s="96"/>
      <c r="N13" s="96"/>
      <c r="O13" s="96"/>
      <c r="P13" s="96"/>
      <c r="Q13" s="96"/>
      <c r="X13" s="70"/>
    </row>
    <row r="14" spans="1:24" ht="13.8" x14ac:dyDescent="0.4">
      <c r="A14" s="73"/>
      <c r="B14" s="73"/>
      <c r="C14" s="73"/>
      <c r="X14" s="70"/>
    </row>
    <row r="15" spans="1:24" x14ac:dyDescent="0.5">
      <c r="B15" s="72" t="s">
        <v>320</v>
      </c>
    </row>
    <row r="16" spans="1:24" x14ac:dyDescent="0.5">
      <c r="B16" s="80" t="s">
        <v>51</v>
      </c>
      <c r="C16" s="77" t="s">
        <v>25</v>
      </c>
      <c r="D16" s="36" t="s">
        <v>2</v>
      </c>
      <c r="E16" s="36" t="s">
        <v>3</v>
      </c>
      <c r="F16" s="36" t="s">
        <v>4</v>
      </c>
      <c r="G16" s="36" t="s">
        <v>5</v>
      </c>
      <c r="H16" s="36" t="s">
        <v>6</v>
      </c>
      <c r="I16" s="36" t="s">
        <v>7</v>
      </c>
      <c r="J16" s="78"/>
    </row>
    <row r="17" spans="2:10" x14ac:dyDescent="0.5">
      <c r="B17" s="81" t="s">
        <v>323</v>
      </c>
      <c r="C17" s="73"/>
      <c r="D17" s="90">
        <v>0.19983333333333334</v>
      </c>
      <c r="E17" s="90">
        <v>1.2393285211267608</v>
      </c>
      <c r="F17" s="90">
        <v>4.1133078947368418</v>
      </c>
      <c r="G17" s="90">
        <v>8.9946879999999982</v>
      </c>
      <c r="H17" s="90">
        <v>19.383612738853504</v>
      </c>
      <c r="I17" s="90">
        <v>33.563154545454552</v>
      </c>
    </row>
    <row r="18" spans="2:10" x14ac:dyDescent="0.5">
      <c r="B18" s="81" t="s">
        <v>324</v>
      </c>
      <c r="C18" s="73"/>
      <c r="D18" s="90">
        <v>0.11989999999999998</v>
      </c>
      <c r="E18" s="90">
        <v>0.82621901408450715</v>
      </c>
      <c r="F18" s="90">
        <v>2.7422052631578944</v>
      </c>
      <c r="G18" s="90">
        <v>5.6216799999999996</v>
      </c>
      <c r="H18" s="90">
        <v>11.182853503184713</v>
      </c>
      <c r="I18" s="90">
        <v>17.664818181818184</v>
      </c>
    </row>
    <row r="19" spans="2:10" x14ac:dyDescent="0.5">
      <c r="B19" s="81" t="s">
        <v>325</v>
      </c>
      <c r="C19" s="73"/>
      <c r="D19" s="90">
        <v>7.9933333333333315E-2</v>
      </c>
      <c r="E19" s="90">
        <v>0.49573140845070429</v>
      </c>
      <c r="F19" s="90">
        <v>1.599619736842105</v>
      </c>
      <c r="G19" s="90">
        <v>3.3730079999999996</v>
      </c>
      <c r="H19" s="90">
        <v>6.7097121019108279</v>
      </c>
      <c r="I19" s="90">
        <v>10.59889090909091</v>
      </c>
    </row>
    <row r="20" spans="2:10" x14ac:dyDescent="0.5">
      <c r="B20" s="81" t="s">
        <v>326</v>
      </c>
      <c r="C20" s="73"/>
      <c r="D20" s="90">
        <v>5.9949999999999989E-2</v>
      </c>
      <c r="E20" s="90">
        <v>0.41310950704225358</v>
      </c>
      <c r="F20" s="90">
        <v>1.3711026315789472</v>
      </c>
      <c r="G20" s="90">
        <v>3.0919240000000001</v>
      </c>
      <c r="H20" s="90">
        <v>6.3369503184713372</v>
      </c>
      <c r="I20" s="90">
        <v>10.59889090909091</v>
      </c>
    </row>
    <row r="21" spans="2:10" x14ac:dyDescent="0.5">
      <c r="B21" s="81" t="s">
        <v>327</v>
      </c>
      <c r="C21" s="73"/>
      <c r="D21" s="90">
        <v>7.9933333333333315E-2</v>
      </c>
      <c r="E21" s="90">
        <v>0.49573140845070429</v>
      </c>
      <c r="F21" s="90">
        <v>1.599619736842105</v>
      </c>
      <c r="G21" s="90">
        <v>3.3730079999999996</v>
      </c>
      <c r="H21" s="90">
        <v>7.0824738853503177</v>
      </c>
      <c r="I21" s="90">
        <v>11.482131818181818</v>
      </c>
    </row>
    <row r="22" spans="2:10" x14ac:dyDescent="0.5">
      <c r="B22" s="81" t="s">
        <v>328</v>
      </c>
      <c r="C22" s="73"/>
      <c r="D22" s="90">
        <v>5.9949999999999989E-2</v>
      </c>
      <c r="E22" s="90">
        <v>0.44065014084507054</v>
      </c>
      <c r="F22" s="90">
        <v>1.599619736842105</v>
      </c>
      <c r="G22" s="90">
        <v>3.6540919999999995</v>
      </c>
      <c r="H22" s="90">
        <v>7.8279974522292983</v>
      </c>
      <c r="I22" s="90">
        <v>13.248613636363636</v>
      </c>
    </row>
    <row r="23" spans="2:10" x14ac:dyDescent="0.5">
      <c r="B23" s="81"/>
      <c r="C23" s="73"/>
      <c r="D23" s="90"/>
      <c r="E23" s="90"/>
      <c r="F23" s="90"/>
      <c r="G23" s="90"/>
      <c r="H23" s="90"/>
      <c r="I23" s="90"/>
    </row>
    <row r="24" spans="2:10" x14ac:dyDescent="0.5">
      <c r="B24" s="82" t="s">
        <v>40</v>
      </c>
      <c r="C24" s="74"/>
      <c r="D24" s="91">
        <f>SUM(D17:D22)</f>
        <v>0.59949999999999992</v>
      </c>
      <c r="E24" s="91">
        <f>SUM(E17:E22)</f>
        <v>3.9107700000000003</v>
      </c>
      <c r="F24" s="91">
        <f>SUM(F17:F22)</f>
        <v>13.025474999999997</v>
      </c>
      <c r="G24" s="91">
        <f>SUM(G17:G22)</f>
        <v>28.108399999999993</v>
      </c>
      <c r="H24" s="91">
        <f>SUM(H17:H22)</f>
        <v>58.523599999999995</v>
      </c>
      <c r="I24" s="91">
        <f>SUM(I17:I22)</f>
        <v>97.156499999999994</v>
      </c>
      <c r="J24" s="72"/>
    </row>
    <row r="26" spans="2:10" x14ac:dyDescent="0.5">
      <c r="B26" s="72" t="s">
        <v>321</v>
      </c>
    </row>
    <row r="27" spans="2:10" x14ac:dyDescent="0.5">
      <c r="B27" s="80" t="s">
        <v>51</v>
      </c>
      <c r="C27" s="77" t="s">
        <v>25</v>
      </c>
      <c r="D27" s="36" t="s">
        <v>2</v>
      </c>
      <c r="E27" s="36" t="s">
        <v>3</v>
      </c>
      <c r="F27" s="36" t="s">
        <v>4</v>
      </c>
      <c r="G27" s="36" t="s">
        <v>5</v>
      </c>
      <c r="H27" s="36" t="s">
        <v>6</v>
      </c>
      <c r="I27" s="36" t="s">
        <v>7</v>
      </c>
      <c r="J27" s="78"/>
    </row>
    <row r="28" spans="2:10" x14ac:dyDescent="0.5">
      <c r="B28" s="81" t="s">
        <v>329</v>
      </c>
      <c r="C28" s="73"/>
      <c r="D28" s="90">
        <v>0.1</v>
      </c>
      <c r="E28" s="90">
        <v>1.170582</v>
      </c>
      <c r="F28" s="90">
        <v>4.0140372000000006</v>
      </c>
      <c r="G28" s="90">
        <v>9.4163081999999996</v>
      </c>
      <c r="H28" s="90">
        <v>18.884887160000002</v>
      </c>
      <c r="I28" s="90">
        <v>34.443645216</v>
      </c>
    </row>
    <row r="29" spans="2:10" x14ac:dyDescent="0.5">
      <c r="B29" s="81" t="s">
        <v>330</v>
      </c>
      <c r="C29" s="73"/>
      <c r="D29" s="90">
        <v>0.2</v>
      </c>
      <c r="E29" s="90">
        <v>1.7558729999999998</v>
      </c>
      <c r="F29" s="90">
        <v>6.021055800000001</v>
      </c>
      <c r="G29" s="90">
        <v>14.124462299999998</v>
      </c>
      <c r="H29" s="90">
        <v>28.327330739999997</v>
      </c>
      <c r="I29" s="90">
        <v>51.665467823999997</v>
      </c>
    </row>
    <row r="30" spans="2:10" x14ac:dyDescent="0.5">
      <c r="B30" s="81" t="s">
        <v>331</v>
      </c>
      <c r="C30" s="73"/>
      <c r="D30" s="90">
        <v>0.1</v>
      </c>
      <c r="E30" s="90">
        <v>1.4632274999999999</v>
      </c>
      <c r="F30" s="90">
        <v>5.0175465000000008</v>
      </c>
      <c r="G30" s="90">
        <v>11.770385249999999</v>
      </c>
      <c r="H30" s="90">
        <v>23.606108949999999</v>
      </c>
      <c r="I30" s="90">
        <v>43.054556519999998</v>
      </c>
    </row>
    <row r="31" spans="2:10" x14ac:dyDescent="0.5">
      <c r="B31" s="81" t="s">
        <v>332</v>
      </c>
      <c r="C31" s="73"/>
      <c r="D31" s="90">
        <v>0.08</v>
      </c>
      <c r="E31" s="90">
        <v>0.7023491999999999</v>
      </c>
      <c r="F31" s="90">
        <v>2.4084223200000001</v>
      </c>
      <c r="G31" s="90">
        <v>5.6497849199999992</v>
      </c>
      <c r="H31" s="90">
        <v>11.330932295999999</v>
      </c>
      <c r="I31" s="90">
        <v>20.666187129599997</v>
      </c>
    </row>
    <row r="32" spans="2:10" x14ac:dyDescent="0.5">
      <c r="B32" s="81" t="s">
        <v>333</v>
      </c>
      <c r="C32" s="73"/>
      <c r="D32" s="90">
        <v>0.08</v>
      </c>
      <c r="E32" s="90">
        <v>0.76087830000000001</v>
      </c>
      <c r="F32" s="90">
        <v>2.6091241800000007</v>
      </c>
      <c r="G32" s="90">
        <v>6.1206003299999994</v>
      </c>
      <c r="H32" s="90">
        <v>12.275176654000001</v>
      </c>
      <c r="I32" s="90">
        <v>22.388369390400001</v>
      </c>
    </row>
    <row r="33" spans="2:10" x14ac:dyDescent="0.5">
      <c r="B33" s="81"/>
      <c r="C33" s="73"/>
      <c r="D33" s="90"/>
      <c r="E33" s="90"/>
      <c r="F33" s="90"/>
      <c r="G33" s="90"/>
      <c r="H33" s="90"/>
      <c r="I33" s="90"/>
    </row>
    <row r="34" spans="2:10" x14ac:dyDescent="0.5">
      <c r="B34" s="82" t="s">
        <v>40</v>
      </c>
      <c r="C34" s="74"/>
      <c r="D34" s="91">
        <f>SUM(D28:D32)</f>
        <v>0.56000000000000005</v>
      </c>
      <c r="E34" s="91">
        <f>SUM(E28:E32)</f>
        <v>5.8529099999999987</v>
      </c>
      <c r="F34" s="91">
        <f>SUM(F28:F32)</f>
        <v>20.070186000000003</v>
      </c>
      <c r="G34" s="91">
        <f>SUM(G28:G32)</f>
        <v>47.081541000000001</v>
      </c>
      <c r="H34" s="91">
        <f>SUM(H28:H32)</f>
        <v>94.424435800000012</v>
      </c>
      <c r="I34" s="91">
        <f>SUM(I28:I32)</f>
        <v>172.21822607999997</v>
      </c>
      <c r="J34" s="7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15</vt:i4>
      </vt:variant>
    </vt:vector>
  </HeadingPairs>
  <TitlesOfParts>
    <vt:vector size="15" baseType="lpstr">
      <vt:lpstr>Cover Page</vt:lpstr>
      <vt:lpstr>Financial Overview&gt;&gt;</vt:lpstr>
      <vt:lpstr>P&amp;L</vt:lpstr>
      <vt:lpstr>Sales Summary</vt:lpstr>
      <vt:lpstr>Use of Funds</vt:lpstr>
      <vt:lpstr>Historical Context</vt:lpstr>
      <vt:lpstr>CGTMSE Debt </vt:lpstr>
      <vt:lpstr>Cap Table</vt:lpstr>
      <vt:lpstr>Market</vt:lpstr>
      <vt:lpstr>Working&gt;&gt;</vt:lpstr>
      <vt:lpstr>Assumptions</vt:lpstr>
      <vt:lpstr>Revenue Master</vt:lpstr>
      <vt:lpstr>Tapeout Expenses</vt:lpstr>
      <vt:lpstr>Payroll</vt:lpstr>
      <vt:lpstr>Expense Schedules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Haradatta Emani</dc:creator>
  <cp:lastModifiedBy>Haradatta Emani</cp:lastModifiedBy>
  <dcterms:created xsi:type="dcterms:W3CDTF">2026-06-18T23:06:31Z</dcterms:created>
  <dcterms:modified xsi:type="dcterms:W3CDTF">2026-06-20T14:05:46Z</dcterms:modified>
</cp:coreProperties>
</file>